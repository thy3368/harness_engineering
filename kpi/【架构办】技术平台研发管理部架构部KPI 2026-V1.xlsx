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2026年度KPI" sheetId="2" r:id="rId1"/>
    <sheet name="能力建设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<sst xmlns="http://schemas.openxmlformats.org/spreadsheetml/2006/main" count="101" uniqueCount="61">
  <si>
    <t>组织</t>
  </si>
  <si>
    <t>BSC维度</t>
  </si>
  <si>
    <t>关键成功因素</t>
  </si>
  <si>
    <t>关键绩效指标</t>
  </si>
  <si>
    <t>指标类型</t>
  </si>
  <si>
    <t>权重</t>
  </si>
  <si>
    <t xml:space="preserve">年度指标 </t>
  </si>
  <si>
    <t>定义/公式</t>
  </si>
  <si>
    <t>计算公式附加说明</t>
  </si>
  <si>
    <t>数据来源</t>
  </si>
  <si>
    <t>2025年完成值</t>
  </si>
  <si>
    <t>承接人</t>
  </si>
  <si>
    <t>KSF</t>
  </si>
  <si>
    <t>KPI</t>
  </si>
  <si>
    <t>考核/观测</t>
  </si>
  <si>
    <t>超越值</t>
  </si>
  <si>
    <t>基准值</t>
  </si>
  <si>
    <t>基本值</t>
  </si>
  <si>
    <t>架构办</t>
  </si>
  <si>
    <t>客户运营</t>
  </si>
  <si>
    <t>产品一流</t>
  </si>
  <si>
    <t>单位代码行下的设计缺陷密度</t>
  </si>
  <si>
    <t>考核</t>
  </si>
  <si>
    <t>下降60%</t>
  </si>
  <si>
    <t>下降50%</t>
  </si>
  <si>
    <t>持平</t>
  </si>
  <si>
    <t>考核产品：SEE2.0、JRES3.0、LDP1.0、低码工具2.0、大数据平台2.0、行情5.5
考核单位代码行下的设计缺陷密度，减少设计阶段缺陷，提高设计质量。
二季度建度量基线，下半年考核</t>
  </si>
  <si>
    <t>质量运营</t>
  </si>
  <si>
    <t>顾将来</t>
  </si>
  <si>
    <t>现场缺陷指数密度-设计遗漏</t>
  </si>
  <si>
    <t>设计缺陷导致的遗漏缺陷密度下降50%</t>
  </si>
  <si>
    <t>设计缺陷导致的遗漏缺陷密度下降30%</t>
  </si>
  <si>
    <t>设计缺陷导致的遗漏缺陷密度持平</t>
  </si>
  <si>
    <t>现场缺陷指数密度-设计遗漏”
考核单位代码行下的因设计遗漏导致的现场缺陷密度。
上半年建度量基线，下半年考核。</t>
  </si>
  <si>
    <t>内部运营</t>
  </si>
  <si>
    <t>综合质量指标（投诉、故障、架构守护缺陷、新增负债）</t>
  </si>
  <si>
    <t>100分</t>
  </si>
  <si>
    <r>
      <t>结果指标（50%）：因</t>
    </r>
    <r>
      <rPr>
        <sz val="10"/>
        <rFont val="微软雅黑"/>
        <charset val="134"/>
      </rPr>
      <t>设计原</t>
    </r>
    <r>
      <rPr>
        <sz val="10"/>
        <color theme="1"/>
        <rFont val="微软雅黑"/>
        <charset val="134"/>
      </rPr>
      <t>因造成的一二级投诉，包含客户直接投诉、内部三个代表对产品质量的投诉，100分扣分项（权重前）：发生1起扣10分，可扣减至-50分；
过程指标（50%）：总分100分，架构级风险遗漏项、技术难点攻关项遗漏、新增负债， 发现一起扣5分</t>
    </r>
  </si>
  <si>
    <t>杨宇、唐红尧</t>
  </si>
  <si>
    <t>设计任务的需求覆盖率&amp;按时完成率</t>
  </si>
  <si>
    <t>60分</t>
  </si>
  <si>
    <t>考核产品：SEE2.0、JRES3.0、LDP1.0、低码工具2.0、大数据平台2.0、行情5.5
1）设计任务对需求的覆盖率（50%占比）
全部完成（100%）得100分；每降低1%扣5分，低于80%得0分。
需求覆盖率：（TR2检查）已完成设计任务覆盖的需求条目数/应覆盖需求条目总数×100%。
2）设计任务的按时完成率（50%占比）
按时完成率≥95%得100分；90%得80分；80%得60分；&lt;80%得0分。
按时完成率计算：（TR2检查）按时完成的设计任务数/应覆盖需求条目总数×100%。
应覆盖需求为：特性需求和P0级需求。</t>
  </si>
  <si>
    <t>开发资源管控机制运行达标率</t>
  </si>
  <si>
    <t>考核产品：SEE2.0、JRES3.0、LDP1.0、低码工具2.0、大数据平台2.0、行情5.5
五类资源：标准字段、数据字典、表结构、接口、技术组件（技术组件先走合规审批，然后登记到经纪资源管控平台）。
检查点：TR5。
扣分项：此项最多可扣至-20分。
①对于标准字段、数据字典、表结构、接口、技术组件（技术组件6月份开始）等资源登记遗漏，TR5检查时每次不一致扣5分。
②技术组件（未纳入标准组件库、未走合规审批）：每个组件扣5分。
应覆盖重点产品。</t>
  </si>
  <si>
    <t>杨宇</t>
  </si>
  <si>
    <t>业务功能树资产沉淀机制运行达标率</t>
  </si>
  <si>
    <t>考核产品：SEE2.0、JRES3.0、LDP1.0、低码工具2.0、大数据平台2.0、行情5.5
考核业务功能树与开发版本的一致性（完整性和准确性）。TR5检查业务功能树更新情况（检查结果：以测试为准），需求登记完成全部完成登记：100分
l  业务功能树完整性：（TR5检查）业务功能树有更新。
l  业务功能树准确性：（TR5检查）业务功能、DFX、版本等表达完整。
检查点：TR5。
扣分项： 此项最多可扣至-20分。
①特性需求，未在业务功能树中更新，每个扣10分
②特性需求，业务功能树登记不准确，每个扣5分</t>
  </si>
  <si>
    <t>架构能力建设</t>
  </si>
  <si>
    <t>120分</t>
  </si>
  <si>
    <t>（1）过程指标：架构部自定义开展相应的能力建设措施（架构Dryrun培训及考核等，参见能力建设项），完成100%，90%，80%分别120分，100分，60分
（2）结果指标：（1-（PDT退回的关键角色人次数/安排的关键角色人数））*100% 。
其中，关键角色是：版本系统工程师。PDT退回人次数，指过程中因不合格退回人次数 + 绩效结果打C的人次数。</t>
  </si>
  <si>
    <t>黄华、顾将来</t>
  </si>
  <si>
    <t>AI能力建设</t>
  </si>
  <si>
    <t>（1）编码review/评审、文档生成、辅助架构评审、架构守护等设计及守护相关任务中，Agent或skill等AI工具的占比，70%，60%，50%，分别记120分，100分，60分</t>
  </si>
  <si>
    <t>唐红尧</t>
  </si>
  <si>
    <t>编号</t>
  </si>
  <si>
    <t>工作任务</t>
  </si>
  <si>
    <t>战略承接</t>
  </si>
  <si>
    <t>负责人</t>
  </si>
  <si>
    <t>交付物</t>
  </si>
  <si>
    <t>计划开始时间</t>
  </si>
  <si>
    <t>计划完成时间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</si>
</sst>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2"/>
      <color theme="1"/>
      <name val="等线"/>
      <charset val="134"/>
      <scheme val="minor"/>
    </font>
    <font>
      <b/>
      <sz val="10"/>
      <name val="Microsoft YaHei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FFFFFF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9"/>
      <color rgb="FF000000"/>
      <name val="微软雅黑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9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9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9" fontId="6" fillId="5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9" fontId="5" fillId="5" borderId="1" xfId="0" applyNumberFormat="1" applyFont="1" applyFill="1" applyBorder="1" applyAlignment="1" applyProtection="1">
      <alignment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/>
    </xf>
    <xf numFmtId="9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9" fontId="6" fillId="5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ill>
        <patternFill patternType="solid">
          <bgColor rgb="FFC5E0B3"/>
        </patternFill>
      </fill>
    </dxf>
    <dxf>
      <fill>
        <patternFill patternType="solid">
          <bgColor rgb="FFB4C6E7"/>
        </patternFill>
      </fill>
    </dxf>
    <dxf>
      <fill>
        <patternFill patternType="solid">
          <bgColor rgb="FFDADADA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B4C6E7"/>
        </patternFill>
      </fill>
    </dxf>
    <dxf>
      <fill>
        <patternFill patternType="solid">
          <bgColor rgb="FFDADADA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C5E0B3"/>
        </patternFill>
      </fill>
    </dxf>
    <dxf>
      <font>
        <color rgb="FFA5A5A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"/>
  <sheetViews>
    <sheetView tabSelected="1" topLeftCell="A7" workbookViewId="0">
      <selection activeCell="J14" sqref="J14:J15"/>
    </sheetView>
  </sheetViews>
  <sheetFormatPr defaultColWidth="8.46875" defaultRowHeight="13.9" customHeight="1"/>
  <cols>
    <col min="1" max="1" width="6.53125" style="6" customWidth="1"/>
    <col min="2" max="2" width="7.3515625" style="6" customWidth="1"/>
    <col min="3" max="3" width="14.3515625" style="6" hidden="1" customWidth="1"/>
    <col min="4" max="4" width="16.53125" style="6" customWidth="1"/>
    <col min="5" max="5" width="8.46875" style="6"/>
    <col min="6" max="6" width="8.46875" style="7"/>
    <col min="7" max="7" width="33.3515625" style="6" customWidth="1"/>
    <col min="8" max="8" width="29.5859375" style="6" customWidth="1"/>
    <col min="9" max="9" width="26.4140625" style="6" customWidth="1"/>
    <col min="10" max="10" width="63.0625" style="8" customWidth="1"/>
    <col min="11" max="11" width="13.8984375" style="8" customWidth="1"/>
    <col min="12" max="12" width="12.3671875" style="6" customWidth="1"/>
    <col min="13" max="13" width="11.078125" style="6" customWidth="1"/>
    <col min="14" max="14" width="20.1015625" style="9" customWidth="1"/>
    <col min="15" max="37" width="8.46875" style="9"/>
  </cols>
  <sheetData>
    <row r="1" s="4" customFormat="1" ht="15" customHeight="1" spans="1:14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5</v>
      </c>
      <c r="G1" s="11" t="s">
        <v>6</v>
      </c>
      <c r="H1" s="11"/>
      <c r="I1" s="11"/>
      <c r="J1" s="10" t="s">
        <v>7</v>
      </c>
      <c r="K1" s="10" t="s">
        <v>8</v>
      </c>
      <c r="L1" s="10" t="s">
        <v>9</v>
      </c>
      <c r="M1" s="13" t="s">
        <v>10</v>
      </c>
      <c r="N1" s="13" t="s">
        <v>11</v>
      </c>
    </row>
    <row r="2" s="4" customFormat="1" ht="14.25" customHeight="1" spans="1:14">
      <c r="A2" s="10"/>
      <c r="B2" s="10"/>
      <c r="C2" s="10" t="s">
        <v>12</v>
      </c>
      <c r="D2" s="11" t="s">
        <v>13</v>
      </c>
      <c r="E2" s="12" t="s">
        <v>14</v>
      </c>
      <c r="F2" s="12">
        <f>SUM(F3:F17)</f>
        <v>1</v>
      </c>
      <c r="G2" s="11" t="s">
        <v>15</v>
      </c>
      <c r="H2" s="11" t="s">
        <v>16</v>
      </c>
      <c r="I2" s="11" t="s">
        <v>17</v>
      </c>
      <c r="J2" s="10"/>
      <c r="K2" s="10"/>
      <c r="L2" s="10"/>
      <c r="M2" s="13"/>
      <c r="N2" s="13"/>
    </row>
    <row r="3" ht="41.65" spans="1:14">
      <c r="A3" s="14" t="s">
        <v>18</v>
      </c>
      <c r="B3" s="15" t="s">
        <v>19</v>
      </c>
      <c r="C3" s="15" t="s">
        <v>20</v>
      </c>
      <c r="D3" s="15" t="s">
        <v>21</v>
      </c>
      <c r="E3" s="14" t="s">
        <v>22</v>
      </c>
      <c r="F3" s="16">
        <v>0.1</v>
      </c>
      <c r="G3" s="16" t="s">
        <v>23</v>
      </c>
      <c r="H3" s="16" t="s">
        <v>24</v>
      </c>
      <c r="I3" s="16" t="s">
        <v>25</v>
      </c>
      <c r="J3" s="17" t="s">
        <v>26</v>
      </c>
      <c r="K3" s="18"/>
      <c r="L3" s="19" t="s">
        <v>27</v>
      </c>
      <c r="M3" s="20"/>
      <c r="N3" s="20" t="s">
        <v>28</v>
      </c>
    </row>
    <row r="4" ht="54" customHeight="1" spans="1:14">
      <c r="A4" s="14" t="s">
        <v>18</v>
      </c>
      <c r="B4" s="15" t="s">
        <v>19</v>
      </c>
      <c r="C4" s="14"/>
      <c r="D4" s="15" t="s">
        <v>29</v>
      </c>
      <c r="E4" s="14" t="s">
        <v>22</v>
      </c>
      <c r="F4" s="16">
        <v>0.1</v>
      </c>
      <c r="G4" s="16" t="s">
        <v>30</v>
      </c>
      <c r="H4" s="16" t="s">
        <v>31</v>
      </c>
      <c r="I4" s="16" t="s">
        <v>32</v>
      </c>
      <c r="J4" s="21" t="s">
        <v>33</v>
      </c>
      <c r="K4" s="22"/>
      <c r="L4" s="19" t="s">
        <v>27</v>
      </c>
      <c r="M4" s="23"/>
      <c r="N4" s="20" t="s">
        <v>28</v>
      </c>
    </row>
    <row r="5" ht="55.5" spans="1:14">
      <c r="A5" s="14" t="s">
        <v>18</v>
      </c>
      <c r="B5" s="15" t="s">
        <v>34</v>
      </c>
      <c r="C5" s="24"/>
      <c r="D5" s="15" t="s">
        <v>35</v>
      </c>
      <c r="E5" s="24" t="s">
        <v>22</v>
      </c>
      <c r="F5" s="25">
        <v>0.2</v>
      </c>
      <c r="G5" s="26"/>
      <c r="H5" s="26" t="s">
        <v>36</v>
      </c>
      <c r="I5" s="26"/>
      <c r="J5" s="27" t="s">
        <v>37</v>
      </c>
      <c r="K5" s="28"/>
      <c r="L5" s="19" t="s">
        <v>27</v>
      </c>
      <c r="M5" s="20"/>
      <c r="N5" s="20" t="s">
        <v>38</v>
      </c>
    </row>
    <row r="6" ht="124.9" spans="1:14">
      <c r="A6" s="14" t="s">
        <v>18</v>
      </c>
      <c r="B6" s="29" t="s">
        <v>34</v>
      </c>
      <c r="C6" s="29"/>
      <c r="D6" s="29" t="s">
        <v>39</v>
      </c>
      <c r="E6" s="30" t="s">
        <v>22</v>
      </c>
      <c r="F6" s="31">
        <v>0.1</v>
      </c>
      <c r="G6" s="32"/>
      <c r="H6" s="32" t="s">
        <v>36</v>
      </c>
      <c r="I6" s="32" t="s">
        <v>40</v>
      </c>
      <c r="J6" s="17" t="s">
        <v>41</v>
      </c>
      <c r="K6" s="28"/>
      <c r="L6" s="19" t="s">
        <v>27</v>
      </c>
      <c r="M6" s="20"/>
      <c r="N6" s="20" t="s">
        <v>38</v>
      </c>
    </row>
    <row r="7" ht="114.4" customHeight="1" spans="1:14">
      <c r="A7" s="14" t="s">
        <v>18</v>
      </c>
      <c r="B7" s="29" t="s">
        <v>34</v>
      </c>
      <c r="C7" s="29"/>
      <c r="D7" s="29" t="s">
        <v>42</v>
      </c>
      <c r="E7" s="30" t="s">
        <v>22</v>
      </c>
      <c r="F7" s="31">
        <v>0.15</v>
      </c>
      <c r="G7" s="32"/>
      <c r="H7" s="32" t="s">
        <v>36</v>
      </c>
      <c r="I7" s="32" t="s">
        <v>40</v>
      </c>
      <c r="J7" s="17" t="s">
        <v>43</v>
      </c>
      <c r="L7" s="19" t="s">
        <v>27</v>
      </c>
      <c r="N7" s="6" t="s">
        <v>44</v>
      </c>
    </row>
    <row r="8" ht="124.9" spans="1:14">
      <c r="A8" s="14" t="s">
        <v>18</v>
      </c>
      <c r="B8" s="32" t="s">
        <v>34</v>
      </c>
      <c r="C8" s="32"/>
      <c r="D8" s="32" t="s">
        <v>45</v>
      </c>
      <c r="E8" s="32" t="s">
        <v>22</v>
      </c>
      <c r="F8" s="32">
        <v>0.15</v>
      </c>
      <c r="G8" s="32"/>
      <c r="H8" s="32" t="s">
        <v>36</v>
      </c>
      <c r="I8" s="32" t="s">
        <v>40</v>
      </c>
      <c r="J8" s="17" t="s">
        <v>46</v>
      </c>
      <c r="L8" s="19" t="s">
        <v>27</v>
      </c>
      <c r="N8" s="6" t="s">
        <v>44</v>
      </c>
    </row>
    <row r="9" s="5" customFormat="1" ht="56.65" customHeight="1" spans="1:14">
      <c r="A9" s="14" t="s">
        <v>18</v>
      </c>
      <c r="B9" s="32" t="s">
        <v>34</v>
      </c>
      <c r="C9" s="32"/>
      <c r="D9" s="32" t="s">
        <v>47</v>
      </c>
      <c r="E9" s="32" t="s">
        <v>22</v>
      </c>
      <c r="F9" s="32">
        <v>0.1</v>
      </c>
      <c r="G9" s="32" t="s">
        <v>48</v>
      </c>
      <c r="H9" s="32" t="s">
        <v>36</v>
      </c>
      <c r="I9" s="32" t="s">
        <v>40</v>
      </c>
      <c r="J9" s="17" t="s">
        <v>49</v>
      </c>
      <c r="K9" s="22"/>
      <c r="L9" s="19" t="s">
        <v>27</v>
      </c>
      <c r="M9" s="23"/>
      <c r="N9" s="23" t="s">
        <v>50</v>
      </c>
    </row>
    <row r="10" ht="27.75" spans="1:14">
      <c r="A10" s="14" t="s">
        <v>18</v>
      </c>
      <c r="B10" s="32" t="s">
        <v>34</v>
      </c>
      <c r="C10" s="32"/>
      <c r="D10" s="32" t="s">
        <v>51</v>
      </c>
      <c r="E10" s="32" t="s">
        <v>22</v>
      </c>
      <c r="F10" s="32">
        <v>0.1</v>
      </c>
      <c r="G10" s="32" t="s">
        <v>48</v>
      </c>
      <c r="H10" s="32" t="s">
        <v>36</v>
      </c>
      <c r="I10" s="32" t="s">
        <v>40</v>
      </c>
      <c r="J10" s="17" t="s">
        <v>52</v>
      </c>
      <c r="K10" s="22"/>
      <c r="L10" s="19" t="s">
        <v>27</v>
      </c>
      <c r="M10" s="23"/>
      <c r="N10" s="23" t="s">
        <v>53</v>
      </c>
    </row>
  </sheetData>
  <mergeCells count="8">
    <mergeCell ref="G1:I1"/>
    <mergeCell ref="A1:A2"/>
    <mergeCell ref="B1:B2"/>
    <mergeCell ref="J1:J2"/>
    <mergeCell ref="K1:K2"/>
    <mergeCell ref="L1:L2"/>
    <mergeCell ref="M1:M2"/>
    <mergeCell ref="N1:N2"/>
  </mergeCells>
  <conditionalFormatting sqref="G3:I3">
    <cfRule type="expression" dxfId="0" priority="221">
      <formula>#REF!="组织建设"</formula>
    </cfRule>
    <cfRule type="expression" dxfId="1" priority="222">
      <formula>#REF!="市场/客户"</formula>
    </cfRule>
    <cfRule type="expression" dxfId="2" priority="223">
      <formula>#REF!="内部运营"</formula>
    </cfRule>
    <cfRule type="expression" dxfId="3" priority="224">
      <formula>#REF!="财务"</formula>
    </cfRule>
  </conditionalFormatting>
  <conditionalFormatting sqref="K3">
    <cfRule type="expression" dxfId="4" priority="834">
      <formula>#REF!="市场/客户"</formula>
    </cfRule>
    <cfRule type="expression" dxfId="5" priority="835">
      <formula>#REF!="内部运营"</formula>
    </cfRule>
    <cfRule type="expression" dxfId="6" priority="839">
      <formula>#REF!="财务"</formula>
    </cfRule>
  </conditionalFormatting>
  <conditionalFormatting sqref="G4:I4">
    <cfRule type="expression" dxfId="0" priority="13">
      <formula>#REF!="组织建设"</formula>
    </cfRule>
    <cfRule type="expression" dxfId="1" priority="14">
      <formula>#REF!="市场/客户"</formula>
    </cfRule>
    <cfRule type="expression" dxfId="2" priority="15">
      <formula>#REF!="内部运营"</formula>
    </cfRule>
    <cfRule type="expression" dxfId="3" priority="16">
      <formula>#REF!="财务"</formula>
    </cfRule>
  </conditionalFormatting>
  <conditionalFormatting sqref="L4">
    <cfRule type="expression" dxfId="7" priority="4">
      <formula>#REF!="组织建设"</formula>
    </cfRule>
  </conditionalFormatting>
  <conditionalFormatting sqref="J5">
    <cfRule type="expression" dxfId="0" priority="143">
      <formula>#REF!="组织建设"</formula>
    </cfRule>
    <cfRule type="expression" dxfId="1" priority="144">
      <formula>#REF!="市场/客户"</formula>
    </cfRule>
    <cfRule type="expression" dxfId="2" priority="145">
      <formula>#REF!="内部运营"</formula>
    </cfRule>
    <cfRule type="cellIs" dxfId="8" priority="146" operator="equal">
      <formula>"【自定义指标】请在J列“计算公式附加说明中”输入指标定义或计算公式说明 ▬▬▬►"</formula>
    </cfRule>
    <cfRule type="expression" dxfId="3" priority="147">
      <formula>#REF!="财务"</formula>
    </cfRule>
  </conditionalFormatting>
  <conditionalFormatting sqref="F7">
    <cfRule type="expression" dxfId="0" priority="17">
      <formula>#REF!="组织建设"</formula>
    </cfRule>
    <cfRule type="expression" dxfId="1" priority="18">
      <formula>#REF!="市场/客户"</formula>
    </cfRule>
    <cfRule type="expression" dxfId="2" priority="19">
      <formula>#REF!="内部运营"</formula>
    </cfRule>
    <cfRule type="expression" dxfId="3" priority="20">
      <formula>#REF!="财务"</formula>
    </cfRule>
  </conditionalFormatting>
  <conditionalFormatting sqref="L8">
    <cfRule type="expression" dxfId="7" priority="3">
      <formula>#REF!="组织建设"</formula>
    </cfRule>
  </conditionalFormatting>
  <conditionalFormatting sqref="L9">
    <cfRule type="expression" dxfId="7" priority="2">
      <formula>#REF!="组织建设"</formula>
    </cfRule>
  </conditionalFormatting>
  <conditionalFormatting sqref="L10">
    <cfRule type="expression" dxfId="7" priority="1">
      <formula>#REF!="组织建设"</formula>
    </cfRule>
  </conditionalFormatting>
  <conditionalFormatting sqref="F6:F7">
    <cfRule type="expression" dxfId="7" priority="213">
      <formula>#REF!="组织建设"</formula>
    </cfRule>
    <cfRule type="expression" dxfId="4" priority="214">
      <formula>#REF!="市场/客户"</formula>
    </cfRule>
    <cfRule type="expression" dxfId="5" priority="215">
      <formula>#REF!="内部运营"</formula>
    </cfRule>
    <cfRule type="expression" dxfId="6" priority="216">
      <formula>#REF!="财务"</formula>
    </cfRule>
  </conditionalFormatting>
  <conditionalFormatting sqref="B3:D3 C6:D6 B4:B6 F3:F4 J4 B7:D7">
    <cfRule type="expression" dxfId="4" priority="795">
      <formula>#REF!="市场/客户"</formula>
    </cfRule>
  </conditionalFormatting>
  <conditionalFormatting sqref="B3:D3 C6:D6">
    <cfRule type="expression" dxfId="7" priority="794">
      <formula>#REF!="组织建设"</formula>
    </cfRule>
  </conditionalFormatting>
  <conditionalFormatting sqref="B3:D3 F3:F4 J4 B4:B6 C6:D6 B7:D7">
    <cfRule type="expression" dxfId="5" priority="796">
      <formula>#REF!="内部运营"</formula>
    </cfRule>
    <cfRule type="expression" dxfId="6" priority="797">
      <formula>#REF!="财务"</formula>
    </cfRule>
  </conditionalFormatting>
  <conditionalFormatting sqref="F3:F4 J4 L4">
    <cfRule type="expression" dxfId="7" priority="42">
      <formula>#REF!="组织建设"</formula>
    </cfRule>
  </conditionalFormatting>
  <conditionalFormatting sqref="K3:L3 L4:L10">
    <cfRule type="cellIs" dxfId="8" priority="849" operator="equal">
      <formula>"【自定义指标】请在J列“计算公式附加说明中”输入指标定义或计算公式说明 ▬▬▬►"</formula>
    </cfRule>
  </conditionalFormatting>
  <conditionalFormatting sqref="K3:N3 N4 L5:N7 N8">
    <cfRule type="expression" dxfId="7" priority="813">
      <formula>#REF!="组织建设"</formula>
    </cfRule>
  </conditionalFormatting>
  <conditionalFormatting sqref="L3:L5 L6:M6 L7:N7 L8 N8 L9:L10">
    <cfRule type="expression" dxfId="4" priority="814">
      <formula>#REF!="市场/客户"</formula>
    </cfRule>
    <cfRule type="expression" dxfId="5" priority="815">
      <formula>#REF!="内部运营"</formula>
    </cfRule>
    <cfRule type="expression" dxfId="6" priority="816">
      <formula>#REF!="财务"</formula>
    </cfRule>
  </conditionalFormatting>
  <conditionalFormatting sqref="M3:N3 N4 M5:N5 N6">
    <cfRule type="expression" dxfId="4" priority="829">
      <formula>#REF!="市场/客户"</formula>
    </cfRule>
    <cfRule type="expression" dxfId="5" priority="830">
      <formula>#REF!="内部运营"</formula>
    </cfRule>
    <cfRule type="expression" dxfId="6" priority="831">
      <formula>#REF!="财务"</formula>
    </cfRule>
  </conditionalFormatting>
  <conditionalFormatting sqref="B4:B6 L9:L10 B7:D7">
    <cfRule type="expression" dxfId="7" priority="786">
      <formula>#REF!="组织建设"</formula>
    </cfRule>
  </conditionalFormatting>
  <dataValidations count="3">
    <dataValidation allowBlank="1" sqref="M1:N1"/>
    <dataValidation type="list" allowBlank="1" showInputMessage="1" showErrorMessage="1" sqref="E3 E6:E10">
      <formula1>"考核,观测"</formula1>
    </dataValidation>
    <dataValidation type="list" allowBlank="1" showInputMessage="1" showErrorMessage="1" sqref="L3:L10">
      <formula1>"财经运营,客户运营,质量运营,人力资源,战略产品,工程服务"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5" sqref="A5"/>
    </sheetView>
  </sheetViews>
  <sheetFormatPr defaultColWidth="100.6484375" defaultRowHeight="20" customHeight="1" outlineLevelCol="6"/>
  <cols>
    <col min="1" max="1" width="7.9375" style="1" customWidth="1"/>
    <col min="2" max="2" width="66.0625" style="1" customWidth="1"/>
    <col min="3" max="3" width="19.8828125" style="1" customWidth="1"/>
    <col min="4" max="4" width="12.1796875" style="2" customWidth="1"/>
    <col min="5" max="5" width="17.1796875" style="1" customWidth="1"/>
    <col min="6" max="7" width="10.6484375" style="1" customWidth="1"/>
    <col min="8" max="16384" width="100.6484375" style="1"/>
  </cols>
  <sheetData>
    <row r="1" customHeight="1" spans="1:7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2026年度KPI</vt:lpstr>
      <vt:lpstr>能力建设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黄华</cp:lastModifiedBy>
  <dcterms:created xsi:type="dcterms:W3CDTF">2006-09-16T00:00:00Z</dcterms:created>
  <dcterms:modified xsi:type="dcterms:W3CDTF">2026-04-29T12:07:08Z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1F02711BC70644109C676D79495642E2_13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