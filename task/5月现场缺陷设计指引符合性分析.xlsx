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gujianglai/Downloads/"/>
    </mc:Choice>
  </mc:AlternateContent>
  <xr:revisionPtr revIDLastSave="0" documentId="13_ncr:1_{991A6B26-CC31-2E4A-9622-C35660C04561}" xr6:coauthVersionLast="47" xr6:coauthVersionMax="47" xr10:uidLastSave="{00000000-0000-0000-0000-000000000000}"/>
  <bookViews>
    <workbookView xWindow="28800" yWindow="-1620" windowWidth="38400" windowHeight="21100" activeTab="1" xr2:uid="{00000000-000D-0000-FFFF-FFFF00000000}"/>
  </bookViews>
  <sheets>
    <sheet name="统计看板" sheetId="1" r:id="rId1"/>
    <sheet name="逐条分析" sheetId="2" r:id="rId2"/>
    <sheet name="新增扩展指引建议" sheetId="3" r:id="rId3"/>
    <sheet name="分类与编号规则" sheetId="4" r:id="rId4"/>
    <sheet name="未纳入分析条目" sheetId="5" r:id="rId5"/>
    <sheet name="判定口径" sheetId="6" r:id="rId6"/>
    <sheet name="原始缺陷清单" sheetId="7" r:id="rId7"/>
  </sheets>
  <definedNames>
    <definedName name="_xlnm._FilterDatabase" localSheetId="6" hidden="1">原始缺陷清单!$A$2:$N$24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1" i="1" l="1"/>
  <c r="B10" i="1"/>
  <c r="B9" i="1"/>
  <c r="B8" i="1"/>
  <c r="E7" i="1"/>
  <c r="B7" i="1"/>
  <c r="E6" i="1"/>
  <c r="E5" i="1"/>
  <c r="B5" i="1"/>
  <c r="E4" i="1"/>
</calcChain>
</file>

<file path=xl/sharedStrings.xml><?xml version="1.0" encoding="utf-8"?>
<sst xmlns="http://schemas.openxmlformats.org/spreadsheetml/2006/main" count="797" uniqueCount="473">
  <si>
    <t>5月现场缺陷设计指引符合性分析 - 统计看板</t>
  </si>
  <si>
    <t>指标</t>
  </si>
  <si>
    <t>数量</t>
  </si>
  <si>
    <t>主质量属性</t>
  </si>
  <si>
    <t>5月缺陷总数</t>
  </si>
  <si>
    <t>兼容性</t>
  </si>
  <si>
    <t>纳入分析条目</t>
  </si>
  <si>
    <t>可靠性</t>
  </si>
  <si>
    <t>未纳入分析条目</t>
  </si>
  <si>
    <t>性能</t>
  </si>
  <si>
    <t>违反已有指引</t>
  </si>
  <si>
    <t>安全</t>
  </si>
  <si>
    <t>部分覆盖，需扩展</t>
  </si>
  <si>
    <t>未覆盖，建议新增</t>
  </si>
  <si>
    <t>已有指引覆盖，不新增</t>
  </si>
  <si>
    <t>建议新增/扩展数量</t>
  </si>
  <si>
    <t>优先级</t>
  </si>
  <si>
    <t>新增/扩展指引编号</t>
  </si>
  <si>
    <t>指引名称</t>
  </si>
  <si>
    <t>触发缺陷</t>
  </si>
  <si>
    <t>说明</t>
  </si>
  <si>
    <t>P1</t>
  </si>
  <si>
    <t>PERF-SQL-001</t>
  </si>
  <si>
    <t>统一SQL/数据库函数转换性能准出指引</t>
  </si>
  <si>
    <t>202605233035</t>
  </si>
  <si>
    <t>避免为兼容语义引入自定义函数、谓词改写、表达式包裹后，破坏数据库原生优化能力、索引命中和执行计划，导致现场迁移或查询性能显著退化。</t>
  </si>
  <si>
    <t>CMP-FUNC-021</t>
  </si>
  <si>
    <t>DSL/表达式语法兼容与特殊字符转义指引</t>
  </si>
  <si>
    <t>202605184517、202605193994</t>
  </si>
  <si>
    <t>避免查询表达式、规则表达式、SearchSpec、脚本/模板语法扩展后，与历史语法、组件内部语法或特殊字符分隔规则冲突，导致表达式截断、误解析或容量不足。</t>
  </si>
  <si>
    <t>RES-QUEUE-002</t>
  </si>
  <si>
    <t>异步发送连接级队列隔离与异常连接处理指引</t>
  </si>
  <si>
    <t>202605123047</t>
  </si>
  <si>
    <t>避免异步发送、回调、消息推送等场景下，单连接 ZeroWindow、EAGAIN、慢消费或异常回调阻塞全局发送链路，扩大为服务端大面积卡死。</t>
  </si>
  <si>
    <t>序号</t>
  </si>
  <si>
    <t>编号</t>
  </si>
  <si>
    <t>产品名称</t>
  </si>
  <si>
    <t>缺陷标题</t>
  </si>
  <si>
    <t>调整后的缺陷引入原因分类</t>
  </si>
  <si>
    <t>分类原因</t>
  </si>
  <si>
    <t>关联质量属性</t>
  </si>
  <si>
    <t>问题场景L1</t>
  </si>
  <si>
    <t>问题场景L2</t>
  </si>
  <si>
    <t>问题场景L3</t>
  </si>
  <si>
    <t>关键根因摘要</t>
  </si>
  <si>
    <t>判定结论</t>
  </si>
  <si>
    <t>命中既有指引/规则</t>
  </si>
  <si>
    <t>判定理由</t>
  </si>
  <si>
    <t>是否建议新增/扩展</t>
  </si>
  <si>
    <t>建议指引编号</t>
  </si>
  <si>
    <t>建议新增/扩展设计指引</t>
  </si>
  <si>
    <t>建议落地动作/Checklist方向</t>
  </si>
  <si>
    <t>关联/重复说明</t>
  </si>
  <si>
    <t>202605284224</t>
  </si>
  <si>
    <t>HUNDSUN低码平台软件V1.0</t>
  </si>
  <si>
    <t>补足系统全局配置脚本中缺失的risk_remind_info字段</t>
  </si>
  <si>
    <t>设计活动/设计遗漏项</t>
  </si>
  <si>
    <t>无需调整。修改数据库脚本时未完整梳理 TiDB、OB 等数据库模板覆盖范围，方案层面对适配范围和脚本清单存在遗漏。</t>
  </si>
  <si>
    <t>配置项/数据兼容</t>
  </si>
  <si>
    <t>脚本/模板生成</t>
  </si>
  <si>
    <t>跨数据库脚本模板</t>
  </si>
  <si>
    <t>数据库类型覆盖遗漏</t>
  </si>
  <si>
    <t>背景分析： 【引入问题的需求OR缺陷】：https://dev.hundsun.com/frameV2/pms/storyNew?project_ids=940&amp;story_id=118882，备注：引入版本过于老旧，无法选中 【问题回顾】： 1）业务需求是谁录入的（业务需求是否有问题）：王威 2）方案是谁做的（方案和跨子系统需求拆分是否有问题）：杜广龙 3）效能特性需求谁录入需求的（这个特性下的需求录入是否有问题）： 4）开发是谁开发的（编码是否有问题、联调是否有问题）：杜广龙 直接原因：本次修改仅更新了 MySQL、Oracle 数据库模板，遗漏 TiDB、OB 数据库对应脚本模板 根因分析： 【资源(人力/软件/硬件)】： 【能力】：对插件不熟悉，对资源脚本的数据库类型（TiDB、OB）认知不足，仅熟悉常用的 MySQL、Oracle，未完整覆盖改造范围 【态度&amp;意愿】： 【时间】： 【方法】：开展脚本改造前，未全面梳理当</t>
  </si>
  <si>
    <t>CMP-FUNC-020 代码/SQL生成模板组合矩阵验证；CMP-FUNC-004 代码变更影响分析；CMP-DAT-003 字段兼容设计；CMP-DAT-009 兼容性数据转换机制</t>
  </si>
  <si>
    <t>系统全局配置脚本只更新 MySQL/Oracle，遗漏 TiDB/OB 模板，属于跨数据库脚本模板覆盖范围和字段一致性遗漏；既有 SQL/脚本生成模板组合矩阵规则已要求覆盖目标数据库方言和生成结果验证。</t>
  </si>
  <si>
    <t>否</t>
  </si>
  <si>
    <t>可作为 CMP-FUNC-020 实践案例</t>
  </si>
  <si>
    <t>脚本/模板改造前建立“资源→数据库类型→模板文件→字段清单”矩阵；打包前对 MySQL、Oracle、TiDB、OB 等目标模板做字段差异校验和最小生成验证。</t>
  </si>
  <si>
    <t>202605263625</t>
  </si>
  <si>
    <t>HUNDSUN行情服务器软件V5.5</t>
  </si>
  <si>
    <t>O32 - 关于uhq读取上海债券行情的适配需求</t>
  </si>
  <si>
    <t>无需调整。行情文件解析方案未充分考虑外部数据编码、多字节字符与分隔符字节冲突等边界场景，属于方案设计对解析规则和异常数据处理的遗漏。</t>
  </si>
  <si>
    <t>外部数据解析</t>
  </si>
  <si>
    <t>文件编码与字段分隔</t>
  </si>
  <si>
    <t>多字节字符与分隔符字节冲突</t>
  </si>
  <si>
    <t>【根因】 【根因分类】 系统容错性不足 / 缺少对于外部请求的合法性校验、边界条件考虑不足 - Why 1 : 为什么读取行情文件失败？ - 答：因为解析字段时遇到了 "G8 is not a valid integer value" 错误 - Why 2 : 为什么会报这个错误？ - 答：因为字段解析错位，将字符串 "G8" 当作成交量字段（整数）解析 - Why 3 : 为什么字段解析会错位？ - 答：因为中文字符 "珅"（UTF-8 编码为 0xAB 0x7C）的第二个字节 0x7C 恰好是字段分隔符 | 的 ASCII 码 - Why 4 : 为什么会将中文字符的字节当作分隔符？ - 答：因为解析代码使用单字节字符处理方式，没有考虑多字节编码的中文字符可能包含分隔符字节的情况 - Why 5 : 为什么没有考虑这种情况？ - 答：系统容错性不足，缺少对外部数据编码的合法性校验，边界条件考虑不足 - Why 6 : 为什么</t>
  </si>
  <si>
    <t>CMP-FILE-004 文件编码与国际化兼容性；CMP-API-018 接口输入特殊字符与URL编码转义；CMP-FUNC-006 边界条件处理一致性</t>
  </si>
  <si>
    <t>行情文件解析采用单字节分隔符拆分，未考虑 UTF-8 多字节字符内部字节与 “|” 分隔符冲突，导致字段错位。既有文件编码和特殊字符规则已要求定义字符集、编码方式、保留字符和边界测试。</t>
  </si>
  <si>
    <t>可作为 CMP-FILE-004/CMP-API-018 实践案例</t>
  </si>
  <si>
    <t>外部文件/交易所文件解析应优先按协议字段长度或编码安全解析；测试样本库增加中文、多字节、保留字符、异常编码和仿真文件场景。</t>
  </si>
  <si>
    <t>202605254289</t>
  </si>
  <si>
    <t>HUNDSUN SEE运维监控平台软件V2.0</t>
  </si>
  <si>
    <t>【光大理财微信服务号】SEE平台漏洞修复：spring framework目录遍历漏洞</t>
  </si>
  <si>
    <t>架构设计活动/架构设计遗漏项</t>
  </si>
  <si>
    <t>无需调整。根因指向开源组件安全更新、版本基线、扫描与升级机制缺失，且涉及 JDK17/Spring6 技术栈演进，属于架构级依赖治理和技术路线遗漏。</t>
  </si>
  <si>
    <t>架构/兼容性</t>
  </si>
  <si>
    <t>依赖安全</t>
  </si>
  <si>
    <t>第三方组件漏洞治理</t>
  </si>
  <si>
    <t>Spring/JDK技术栈升级路线</t>
  </si>
  <si>
    <t>【直接原因】安全扫描发现安全漏洞，Spring Framework存在路径遍历漏洞，当应用程序使用 RouterFunctions 来处理静态资源且资源处理通过 FileSystemResource 进行配置时，攻击者可以通过构造恶意 HTTP 请求，利用路径遍历漏洞获取文件系统中的任意文件。 【根本原因】（通过直接原因或者更深层原因来分析根因，关注分析问题引入点和问题控制点） 主观原因：产品开发过程中对开源组件版本的安全更新关注不足，未建立定期安全扫描和组件升级机制，依赖组件长期停留在历史版本。 客观原因：Spring Framework 目录遍历漏洞修复需升级至6.x版本，当前5.3.39，而Spring 6.x必须运行在JDK 17之上，当前SEE2.0产品基于JDK 8构建，框架升级涉及数百人日工作量，短期内无法完成。公司内部目前通过加白名单方式临时规避。 【问题影响】客户安全扫描不通过，影响系统上线和合规验收。</t>
  </si>
  <si>
    <t>SEC-DEP-001 第三方组件漏洞治理与白名单例外管理；CMP-DEP-001~006 依赖版本兼容；REL-RUNTIME-001 跨CPU架构与运行时依赖差异适配</t>
  </si>
  <si>
    <t>Spring Framework 路径遍历漏洞需要 Spring 6/JDK17 技术路线升级，当前缺少定期扫描、组件升级基线和长期技术栈演进路线，直接命中 SEC-DEP-001 的 SBOM、漏洞分级、修复路线和白名单例外要求。</t>
  </si>
  <si>
    <t>可作为 SEC-DEP-001 实践案例</t>
  </si>
  <si>
    <t>维护 JDK8/JDK17 双基线漏洞处置路线；白名单必须记录原因、补偿措施和到期复审；框架升级专项纳入架构路线图和版本准入。</t>
  </si>
  <si>
    <t>HUNDSUN LightDB分布式关系型数据库管理系统软件V1.0</t>
  </si>
  <si>
    <t>统一SQL替换自定义函数后导致性能问题</t>
  </si>
  <si>
    <t>统一 SQL 的具体转换方案采用自定义函数但未评估运行时性能影响，问题发生在具体方案设计层面；不宜归为架构设计活动。</t>
  </si>
  <si>
    <t>兼容性/数据转换</t>
  </si>
  <si>
    <t>统一SQL/数据转换</t>
  </si>
  <si>
    <t>数据库函数转换性能</t>
  </si>
  <si>
    <t>自定义函数替换原生函数导致性能退化</t>
  </si>
  <si>
    <t>问题现象(发生的条件、现象)：在客户迁移数据过程中，发现emptystr2null运行速度比较慢，影响业务运行速度 直接原因: 在兼容oracle和pg的空串行为中，采用了自定义函数方案，自定义函数在pg数据库中比普通的is null运行本身比较慢， 根本原因(必填): 在设计统一SQL转换方案过程中，未充分考虑运行时性能影响 根因分类(参考缺陷复盘里的分类项): 性能</t>
  </si>
  <si>
    <t>CMP-PERF-001 性能基线管理；CMP-PERF-002 性能回归测试；CMP-FUNC-007 算法与计算兼容性；CMP-DAT-009 兼容性数据转换机制</t>
  </si>
  <si>
    <t>统一 SQL 为兼容 Oracle/PG 空串语义采用自定义函数，未评估函数替换后的数据库执行计划和运行时性能。既有性能和数据转换规则能原则覆盖，但缺少“SQL/数据库函数转换性能等价”专项准出要求。</t>
  </si>
  <si>
    <t>是</t>
  </si>
  <si>
    <t>SQL转换规则涉及函数替换、谓词改写、索引命中、表达式包裹时，必须比较原生函数/自定义函数的执行计划、耗时、行数、索引使用和大数据量场景。</t>
  </si>
  <si>
    <t>202605203138</t>
  </si>
  <si>
    <t>HUNDSUN低码平台软件V2.0</t>
  </si>
  <si>
    <t>历史版本设计器（1.25.1301）中文存成了乱码，需要处理，乱码如何检索出来，需要给出方案</t>
  </si>
  <si>
    <t>编码活动/逻辑问题</t>
  </si>
  <si>
    <t>直接原因为消息编码格式处理错误，vscode postMessage 转网络机制时未正确处理 Node.js chunk 编码，属于文本编码处理逻辑缺陷，而非方案设计遗漏。</t>
  </si>
  <si>
    <t>编码规范/用户体验</t>
  </si>
  <si>
    <t>字符编码处理</t>
  </si>
  <si>
    <t>消息/网络传输编码</t>
  </si>
  <si>
    <t>Node.js chunk中文编码</t>
  </si>
  <si>
    <t>背景分析： 【引入问题的需求OR缺陷】：#HCREATORV2-4991 【性能专项测试】测试模型数据320M，快速打开20个数据表时，打开到13个就出现左侧灰屏，操作不了 缺陷解决时重构范围较大 【问题回顾】： 1）业务需求是谁录入的（业务需求是否有问题）：王玉豹 2）方案是谁做的（方案和跨子系统需求拆分是否有问题）：王玉豹 3）效能特性需求谁录入需求的（这个特性下的需求录入是否有问题）：王玉豹 4）开发是谁开发的（编码是否有问题、联调是否有问题）：王玉豹 已经在如下的版本和补丁上做了修复发布 直接原因：消息编码格式错误 根因分析：vscode的postMessage机制转网络机制时， 忽视了nodejs对chunk的编码处理 【LV1】何时引入问题； 【LV2】为什么出现【LV1】；vscode的postMessage机制转网络机制时， 忽视了nodejs对chunk的编码处理 【LV3】为什么出现【LV2】； 【LV4】为</t>
  </si>
  <si>
    <t>CMP-API-018 接口输入特殊字符与URL编码转义；CMP-FUNC-005 输入输出一致性；CMP-FUNC-006 边界条件处理一致性</t>
  </si>
  <si>
    <t>vscode postMessage 转网络机制时未正确处理 Node.js chunk 编码，导致中文乱码。该问题主要是编码实现逻辑缺陷；现有特殊字符、中文编码和输入输出一致性规则足以作为设计/评审输入，不建议新增独立设计指引。</t>
  </si>
  <si>
    <t>转编码规范/实现检查</t>
  </si>
  <si>
    <t>涉及消息传输、流式 chunk、前后端桥接或网络转发时，代码自检需覆盖中文、emoji、长文本、分片边界、半个多字节字符等编码用例。</t>
  </si>
  <si>
    <t>202605193994</t>
  </si>
  <si>
    <t>searchSpec字段太小，导致大量数据in的时候会报错，建议改成长文本</t>
  </si>
  <si>
    <t>SearchSpec 默认长度 1000 的方案未充分评估大量 IN 条件等真实业务输入规模，属于字段容量和边界场景的方案设计遗漏。</t>
  </si>
  <si>
    <t>配置项/数据模型</t>
  </si>
  <si>
    <t>字段容量与表达式</t>
  </si>
  <si>
    <t>SearchSpec长度/容量</t>
  </si>
  <si>
    <t>IN列表展开后长度超限</t>
  </si>
  <si>
    <t>背景分析： 【引入问题的需求OR缺陷】：#202507303448 【特性需求】语言特性：增加searchSpec业务类型，该类型参数默认使用searchSpec的表达式赋值器 【问题回顾】： 1）业务需求是谁录入的（业务需求是否有问题）：张飞 2）方案是谁做的（方案和跨子系统需求拆分是否有问题）：张飞 3）效能特性需求谁录入需求的（这个特性下的需求录入是否有问题）：张飞 4）开发是谁开发的（编码是否有问题、联调是否有问题）：张飞 直接原因：SearchSpec类型默认的长度只有1000，crm有个场景，部门客户列表-批量转移客户：选择列表中的80个客户后跳转到转移页面，会再通过客户ID查询待转移的客户列表，searchSpec:"client_id in {'000000000001','000000000002'......}"，因为每个客户ID有12位，80个拼到一起就超过1000个字符了；导致运行时校验报错 根因分析：</t>
  </si>
  <si>
    <t>CFG-RANGE-001 配置取值范围与容量参数；CMP-DAT-004 默认值与可选字段设计；CMP-FUNC-006 边界条件处理一致性；CMP-API-017 空值语义/前置条件</t>
  </si>
  <si>
    <t>SearchSpec 默认长度 1000 未根据真实业务输入规模评估，IN 列表运行时展开后超限。既有配置范围、容量参数和边界条件规则已要求定义最大值、推荐值、单位、业务规模和边界值验证。</t>
  </si>
  <si>
    <t>可作为 CFG-RANGE-001/CMP-FUNC-006 实践案例</t>
  </si>
  <si>
    <t>字段类型/长度设计需基于真实业务量级；表达式类字段要评估“配置态长度”和“运行时展开长度”；补充大批量 IN、长表达式和边界值用例。</t>
  </si>
  <si>
    <t>202605193245</t>
  </si>
  <si>
    <t>低码1.25.2升级到1.25.1301 bs调用参数包含removeResWrapper就报错</t>
  </si>
  <si>
    <t>无需调整。Jackson 版本回退方案未覆盖 2.14 与高版本在未知字段反序列化策略上的差异，兼容分支和异常报文场景存在方案设计遗漏。</t>
  </si>
  <si>
    <t>配置项/API</t>
  </si>
  <si>
    <t>API/序列化兼容</t>
  </si>
  <si>
    <t>Jackson版本兼容</t>
  </si>
  <si>
    <t>未知字段反序列化策略差异</t>
  </si>
  <si>
    <t>背景分析： 【引入问题的需求OR缺陷】：#202602114211 【低版本兼容】业务要求Jackson版本支持在2.14.0上跑，需要回退之前因解决2.15.0版本字符串限制问题的代码 【问题回顾】： 1）业务需求是谁录入的（业务需求是否有问题）：曾烨 2）方案是谁做的（方案和跨子系统需求拆分是否有问题）：曾烨 3）效能特性需求谁录入需求的（这个特性下的需求录入是否有问题）：曾烨 4）开发是谁开发的（编码是否有问题、联调是否有问题）：曾烨 直接原因： 有三个分支： 1. 当Jackson版本大于等于2.15， 未配置请求报文允许长度的时候返回默认的ObjectMapper对象，默认ObjectMapper对象会强制要求接口字段匹配，而平铺时接口时报文会多出一些字段，导致平铺接口会失败，这个问题之前已经修复；（#202603194251 升级1.25.1301.0版本，bobcbs接口请求全部报错） 2. 当jackson版本大</t>
  </si>
  <si>
    <t>CMP-API-006 参数验证兼容性；CMP-API-014 默认行为稳定性；CMP-API-017 空值语义/前置条件；CFG-DEFAULT-001 配置默认值与缺省行为一致性；CMP-CONF-009 默认值兼容策略</t>
  </si>
  <si>
    <t>Jackson 2.14 回退分支使用默认 ObjectMapper，未知字段处理策略与 MVC 原生配置不一致，且漏掉低版本分支。既有默认行为、参数验证和默认值兼容规则已覆盖该类场景。</t>
  </si>
  <si>
    <t>可作为 CMP-API-014/CFG-DEFAULT-001 实践案例</t>
  </si>
  <si>
    <t>核心框架/三方库升级、降级、回退需列出全部版本分支和默认行为差异；用例覆盖额外字段、未知字段、不同入口、配置缺失/存在组合。</t>
  </si>
  <si>
    <t>202605184517</t>
  </si>
  <si>
    <t>searchSpec工具处理逗号时有问题，需处理</t>
  </si>
  <si>
    <t>SearchSpec 语法扩展后与组件内部逗号分隔规则发生冲突，方案未评估原有语法兼容性和特殊字符场景，原“设计活动/其他”应细化为设计遗漏项。</t>
  </si>
  <si>
    <t>API/用户体验</t>
  </si>
  <si>
    <t>DSL/表达式语法</t>
  </si>
  <si>
    <t>SearchSpec语法兼容</t>
  </si>
  <si>
    <t>逗号分隔符与表达式常量冲突</t>
  </si>
  <si>
    <t>背景分析： 【引入问题的需求OR缺陷】：#202408073250 【财富】列表子表字段的查询和输出，只支持了后端，前端未支持【1.10补丁支持】 【问题回顾】： 1）业务需求是谁录入的（业务需求是否有问题）：胡杰 2）方案是谁做的（方案和跨子系统需求拆分是否有问题）：王英俊 3）效能特性需求谁录入需求的（这个特性下的需求录入是否有问题）：胡杰 4）开发是谁开发的（编码是否有问题、联调是否有问题）：王英俊 直接原因：前端查询表格组件需要支持子bc的查询，语法是用逗号分割，会将表达式做切割，查询内容中包含逗号也会被切割导致查询语句中包含逗号导致分割错误 根因分析： 【LV1】何时引入问题；设计时引入，当时版本没有问题，后续 searchSpec 语法拓展后出现问题，和原有设计存在冲突 【LV2】为什么出现【LV1】；最初设计为组件内部工具解析，设计了一套独立的语法规则，查询的值是通过 {{value}} 来作为查询变量查询不存在值</t>
  </si>
  <si>
    <t>CMP-FUNC-011 脚本和宏兼容性；CMP-API-018 接口输入特殊字符与URL编码转义；CMP-FUNC-006 边界条件处理一致性</t>
  </si>
  <si>
    <t>SearchSpec 语法扩展后允许常量和表达式输入，与组件内部逗号分隔语法冲突，导致包含逗号的查询值被误切分。现有脚本/宏和特殊字符规则能原则覆盖，但缺少 DSL/表达式语法演进兼容和保留字符转义专项规则。</t>
  </si>
  <si>
    <t>表达式/DSL/查询语法扩展时必须声明保留字符、转义规则、嵌套语法、历史语法兼容策略和迁移路径；覆盖逗号、括号、引号、中文、空格、运算符等组合用例。</t>
  </si>
  <si>
    <t>202605143521-1</t>
  </si>
  <si>
    <t>HUNDSUN低延时分布式开发平台软件V1.0</t>
  </si>
  <si>
    <t>【国投证券】可靠一致组播、核心监视器异常问题排查</t>
  </si>
  <si>
    <t>无需调整。线程池 shutdown 后未 awaitTermination 即检查结果，导致竞态条件和错误状态判断，属于并发处理逻辑缺陷。</t>
  </si>
  <si>
    <t>资源管理/可观测性</t>
  </si>
  <si>
    <t>线程池/并发控制</t>
  </si>
  <si>
    <t>线程池优雅关闭</t>
  </si>
  <si>
    <t>shutdown未等待导致竞态误判</t>
  </si>
  <si>
    <t>问题现象(发生的条件、现象)： 条件：配置了错误的地址信息（如无效的IP、端口、无法连接的URL）时 现象：可靠一致组播（LdpRCM）、核心监视器（LdpBizProc）、回库监视器（LdpTodb）仍然显示为正常状态，没有报错提示 影响：用户无法及时发现配置错误，导致监控失效 直接原因: 线程池关闭逻辑缺陷：在所有LDP监视器线程中，调用pool.shutdown()后，没有调用pool.awaitTermination()来等待线程真正结束，就立即检查errorData.size()了。 导致的问题： 当countDownLatch.await(20, TimeUnit.SECONDS)超时后，主线程继续执行 但线程池中的任务可能还在执行，还没有来得及将错误URL添加到errorData中 主线程立即检查errorData.size() &gt; 0，此时可能还是空的 导致监视器返回正常响应 根本原因(必填): 缺少线程池优雅关</t>
  </si>
  <si>
    <t>RES-THREAD-001 线程泄漏/线程池统一管理；CMP-API-012 并发行为规范；OBS-MON-001 监控采集与告警语义一致性</t>
  </si>
  <si>
    <t>线程池 shutdown 后未 awaitTermination 即检查 errorData，导致任务尚未写入错误信息时主线程误判监视器正常。已有线程池管理、并发行为和监控告警语义规则可覆盖。</t>
  </si>
  <si>
    <t>可作为 RES-THREAD-001/CMP-API-012 实践案例</t>
  </si>
  <si>
    <t>线程池关闭必须明确 shutdown、awaitTermination、超时、取消、结果汇总时序；监控场景补充不可达IP、端口不通、超时、DNS失败等异常矩阵。</t>
  </si>
  <si>
    <t>202605133768</t>
  </si>
  <si>
    <t>redo跳包情况下，需要支持解析工具可以解析redo异常消息</t>
  </si>
  <si>
    <t>无需调整。设计文档遗漏 redo 文件结构、目录及与 ldpmsg 的差异说明，导致开发和测试按普通上下文理解，属于方案设计遗漏。</t>
  </si>
  <si>
    <t>可维护性/可靠性</t>
  </si>
  <si>
    <t>文件/协议格式</t>
  </si>
  <si>
    <t>redo文件解析工具</t>
  </si>
  <si>
    <t>多进程redo结构与目录差异</t>
  </si>
  <si>
    <t>问题现象(发生的条件、现象)：开发工具解析redo文件时，报错，解析数据不对。 直接原因: 设计文档时漏掉描述，redo文件的结构和ldpmsg的差异，解析时要注意差异。 根本原因(必填): 设计遗漏，设计时大的方向确定了，只是个工具复用的问题，都是发送的ldp消息，没有考虑到，而且开发测试都没理解需求和设计，都搞错了，非常可惜。实际是很小的一个问题，遗漏给了客户，显示出我们的设计能力不够，开发测试也并没有全身心投入。 根因分类(参考“缺陷复盘样板.xls”里的分类项): 设计遗漏缺陷 缺陷引入需求编号：202602263668 缺陷代码片段截图：没有开发，而不是代码缺陷。</t>
  </si>
  <si>
    <t>CMP-FILE-001 文件格式版本化设计；CMP-DAT-002 数据格式扩展性设计；CMP-FUNC-013 文档版本同步；CMP-FUNC-014 功能变更文档化</t>
  </si>
  <si>
    <t>redo 文件结构、目录和 ldpmsg 的差异未在设计文档中说明，导致工具按普通上下文解析。既有文件格式、数据格式扩展和文档同步规则要求明确格式、路径、版本和差异说明。</t>
  </si>
  <si>
    <t>可作为 CMP-FILE-001/CMP-FUNC-013 实践案例</t>
  </si>
  <si>
    <t>解析工具设计需列出文件来源、目录规则、消息头/消息体结构、普通/redo差异和样例数据；测试需校验解析结果准确性而不仅是可执行。</t>
  </si>
  <si>
    <t>通信配置EnableAsyncSend设置为true异步模式下,某个连接ZeroWindow会导致整个服务端卡死</t>
  </si>
  <si>
    <t>无需调整。异步发送方案未考虑单连接 ZeroWindow/阻塞时对其他连接的影响，缺少连接级队列、异常连接处理和隔离策略，属于方案设计遗漏。</t>
  </si>
  <si>
    <t>资源管理/性能</t>
  </si>
  <si>
    <t>异步通信</t>
  </si>
  <si>
    <t>队列隔离与异常连接处理</t>
  </si>
  <si>
    <t>单连接ZeroWindow阻塞全局发送</t>
  </si>
  <si>
    <t>问题现象(发生的条件、现象)： 服务端异步模式下，其中一个客户端连接卡住，会导致其他客户端发不动 直接原因: 核心配置EnableAsyncSend=true异步模式发送的时候，消息入完队列，当周边API出现应答回调异常卡死情况，导致消息一直没被消费，就一直积压在队列里面，tcp库目前的机制是，如果有链接数据发送失败（EAGAIN）则下一轮发送还是这个连接，其他连接应答数据没有发送机会，最终导致核心出现堵塞 根本原因(必填): 设计未考虑阻塞问题 缺陷引入需求编号： T202401096732 缺陷代码片段截图：</t>
  </si>
  <si>
    <t>RES-QUEUE-001 队列容量/背压保护；CMP-API-012 并发行为规范；PERF-LOCK-001 高并发共享资源锁策略性能准出；REL-FLOW-001 异步重试状态机与业务标记传递一致性</t>
  </si>
  <si>
    <t>异步发送模式下某个连接 ZeroWindow/EAGAIN 后，发送线程持续处理该连接导致其他连接无发送机会。既有队列和并发规则能覆盖部分风险，但缺少“连接级队列隔离、异常连接降级和公平调度”专项要求。</t>
  </si>
  <si>
    <t>异步通信必须区分全局队列与连接级队列；单连接阻塞不得影响其他连接；设计公平调度、异常连接断开/降级、队列水位、ZeroWindow/EAGAIN重试和管理监控。</t>
  </si>
  <si>
    <t>202605093047</t>
  </si>
  <si>
    <t>HUNDSUN业务流程管理平台软件V1.2</t>
  </si>
  <si>
    <t>【WF1.3】wf1.3-99版本对接oracle数据库模式下进程合并安装流程失败</t>
  </si>
  <si>
    <t>编码活动/编码规范不符</t>
  </si>
  <si>
    <t>无需调整。方案中已有统一路径变量 copyTargetDir，但编码时硬编码 ./wf-server/lib/ 未使用统一变量，属于明显编码规范不符。</t>
  </si>
  <si>
    <t>可移植性/构建发布</t>
  </si>
  <si>
    <t>构建发布</t>
  </si>
  <si>
    <t>部署脚本路径兼容</t>
  </si>
  <si>
    <t>硬编码部署路径未使用统一变量</t>
  </si>
  <si>
    <t>【问题分析】 【根本原因】：部署在oracle数据库时需要从外部署加载oracle驱动，工作流单独部署和 进程合并部署时，对外部jar包的加载路径不同，为了避免区分不同路径，使用了统一变量copyTargetDir。但是在支持boot3时需要把三方依赖外置，故把oracle驱动放置在options-jar/oracle目录，在install.sh脚本按需要加载。 编码时使用了硬编码：./wf-server/lib/ 未使用统一变量copyTargetDir。 【问题影响】 工作流单独部署，选择oracle数据库时无影响，进程合并部署时加载路径和单独部署不一样，导致加载驱动失败、 【修改方案】 改成加载oracle驱动使用统一变量加载即可。 【是否涉及文档修改】是 【文档修改内容和链接】 https://alidocs.dingtalk.com/spreadsheetv2/R4lD0JgaBI73BMWM/edit?docKey=</t>
  </si>
  <si>
    <t>REL-ASSET-001 发布制品与脚本资产一致性；CMP-FILE-002 文件路径与命名兼容性；CMP-FUNC-020 代码/SQL生成模板组合矩阵验证</t>
  </si>
  <si>
    <t>进程合并部署场景下 install.sh 硬编码 ./wf-server/lib/，未使用方案中的统一变量 copyTargetDir，导致 Oracle 驱动加载路径错误。已有发布脚本、路径兼容和模板矩阵规则可覆盖。</t>
  </si>
  <si>
    <t>转编码规范并作为 REL-ASSET-001 实践案例</t>
  </si>
  <si>
    <t>部署脚本涉及单独部署/进程合并/MSE、多数据库、多目录形态时，必须使用统一路径变量并建立部署组合矩阵；脚本中禁止硬编码部署路径。</t>
  </si>
  <si>
    <t>指引编号</t>
  </si>
  <si>
    <t>纳入类型</t>
  </si>
  <si>
    <t>治理目标</t>
  </si>
  <si>
    <t>核心设计要求</t>
  </si>
  <si>
    <t>Review Checklist/验证方法</t>
  </si>
  <si>
    <t>纳入方式</t>
  </si>
  <si>
    <t>新增</t>
  </si>
  <si>
    <t>统一SQL、SQL改写、数据库函数转换、空串/NULL语义转换等设计，必须在目标数据库上评估执行计划、索引使用、函数成本、数据量级、批量迁移和高频查询影响；不得只证明功能等价而忽略性能等价。</t>
  </si>
  <si>
    <t>是否对原生函数与自定义函数做执行计划对比；是否覆盖大表、大批量迁移、索引字段、where条件和join场景；是否给出性能验收标准；是否有回退或配置开关。</t>
  </si>
  <si>
    <t>新增：性能/SQL转换场景</t>
  </si>
  <si>
    <t>扩展既有</t>
  </si>
  <si>
    <t>语法兼容/特殊字符</t>
  </si>
  <si>
    <t>DSL/表达式新增语法必须声明保留字符、转义规则、嵌套语法、容量边界、运行时展开长度和历史语法兼容策略；语法扩展前应扫描存量表达式和组件内部使用规则。</t>
  </si>
  <si>
    <t>是否定义逗号、括号、引号、空格、中文、运算符等保留字符处理；是否覆盖表达式嵌套和常量输入；是否评估配置态长度与运行时展开长度；是否提供迁移说明。</t>
  </si>
  <si>
    <t>扩展：CMP-FUNC 功能兼容/脚本DSL场景</t>
  </si>
  <si>
    <t>队列隔离/异常连接处理</t>
  </si>
  <si>
    <t>异步通信必须明确全局队列与连接级队列关系；单连接阻塞不得影响其他连接；设计公平调度、异常连接断开/降级、队列水位、重试间隔、发送超时、手工剔除和连接状态可观测能力。</t>
  </si>
  <si>
    <t>是否存在单连接阻塞全局发送风险；是否有连接级队列和公平遍历；是否覆盖 ZeroWindow/EAGAIN/慢消费/客户端卡死；是否提供异常连接监控和手工断开能力。</t>
  </si>
  <si>
    <t>新增：资源管理/队列与异步通信场景</t>
  </si>
  <si>
    <t>类别</t>
  </si>
  <si>
    <t>规则/取值</t>
  </si>
  <si>
    <t>本次筛选规则</t>
  </si>
  <si>
    <t>纳入分析</t>
  </si>
  <si>
    <t>调整后的缺陷引入原因分类以“设计活动”“编码活动”“架构设计活动”开头的条目纳入逐条分析。</t>
  </si>
  <si>
    <t>不纳入分析</t>
  </si>
  <si>
    <t>其他活动、工具支撑活动、资料问题、运维问题等条目不做设计指引映射，只在未纳入分析表中保留追溯。</t>
  </si>
  <si>
    <t>质量属性维度</t>
  </si>
  <si>
    <t>版本升级、接口/配置/数据/功能行为与历史使用方式保持兼容</t>
  </si>
  <si>
    <t>异常、阻塞、并发、资源耗尽、架构状态变化下仍保持可用或可恢复</t>
  </si>
  <si>
    <t>吞吐量、响应时间、CPU/内存/I/O/锁竞争、SQL执行计划等性能特性</t>
  </si>
  <si>
    <t>CVE、许可证、注入、访问控制、依赖安全等</t>
  </si>
  <si>
    <t>可观测性</t>
  </si>
  <si>
    <t>日志、指标、告警、链路追踪、错误上下文、现场可诊断性</t>
  </si>
  <si>
    <t>用户体验</t>
  </si>
  <si>
    <t>交互状态、视觉一致性、设计器/页面操作体验</t>
  </si>
  <si>
    <t>问题场景维度</t>
  </si>
  <si>
    <t>资源管理</t>
  </si>
  <si>
    <t>内存、线程、锁、连接、文件、磁盘、队列、分布式锁等</t>
  </si>
  <si>
    <t>配置项</t>
  </si>
  <si>
    <t>配置版本、缺失、默认值、范围、依赖、热更新和并发安全</t>
  </si>
  <si>
    <t>缓存</t>
  </si>
  <si>
    <t>缓存版本、缓存失效、内容指纹、实时刷新等</t>
  </si>
  <si>
    <t>API/SDK兼容</t>
  </si>
  <si>
    <t>接口契约、默认行为、参数校验、公共依赖、序列化等</t>
  </si>
  <si>
    <t>SQL/DDL/脚本/Velocity/FreeMarker 模板与目标环境矩阵</t>
  </si>
  <si>
    <t>SearchSpec、EL、SpEL、脚本、模板、表达式等语法演进与特殊字符处理</t>
  </si>
  <si>
    <t>编号规则</t>
  </si>
  <si>
    <t>CMP-*</t>
  </si>
  <si>
    <t>兼容性设计指引：如 CMP-API、CMP-CONF、CMP-FUNC、CMP-DAT、CMP-PLU、CMP-PERF</t>
  </si>
  <si>
    <t>RES-*</t>
  </si>
  <si>
    <t>资源管理问题场景导向设计指引：如 RES-MEM、RES-LOCK、RES-QUEUE、RES-THREAD</t>
  </si>
  <si>
    <t>CFG-*</t>
  </si>
  <si>
    <t>配置项问题场景导向设计指引：如 CFG-VERSION、CFG-DEFAULT、CFG-HOTUPDATE</t>
  </si>
  <si>
    <t>CACHE-*</t>
  </si>
  <si>
    <t>缓存问题场景导向设计指引：如 CACHE-VERSION</t>
  </si>
  <si>
    <t>UX-*</t>
  </si>
  <si>
    <t>用户体验问题场景导向设计指引：如 UX-STATE</t>
  </si>
  <si>
    <t>REL-*</t>
  </si>
  <si>
    <t>可靠性专项设计指引：如 REL-ASSET、REL-ARCH、REL-RUNTIME、REL-FLOW</t>
  </si>
  <si>
    <t>PERF-*</t>
  </si>
  <si>
    <t>性能专项设计指引：如 PERF-SEM、PERF-LOCK；本次建议新增 PERF-SQL</t>
  </si>
  <si>
    <t>SEC-*</t>
  </si>
  <si>
    <t>安全专项设计指引：如 SEC-DEP、SEC-LIC、SEC-INJ</t>
  </si>
  <si>
    <t>OBS-*</t>
  </si>
  <si>
    <t>可观测性专项设计指引：如 OBS-ERR、OBS-MON、OBS-TASK、OBS-DATA</t>
  </si>
  <si>
    <t>不纳入分析原因</t>
  </si>
  <si>
    <t>202605294547</t>
  </si>
  <si>
    <t>【缺陷:ZQNCJYIII-5656】【终态】527 ucbp发生core，具体见描述</t>
  </si>
  <si>
    <t>其他活动/资料问题</t>
  </si>
  <si>
    <t>无需调整。缺陷由函数外部接口/资源释放时序相关说明资料缺失引发，方案评审和修改判断因此误判了 signout 的线程停止与资源依赖影响，符合资料问题归因。</t>
  </si>
  <si>
    <t>按本次要求仅分析调整后分类为设计活动/编码活动/架构设计活动的条目，本条不属于该范围。</t>
  </si>
  <si>
    <t>202605294299</t>
  </si>
  <si>
    <t>HUNDSUN大数据技术平台软件V1.0</t>
  </si>
  <si>
    <t>O4.5-RP4.6组件安全漏洞预处理</t>
  </si>
  <si>
    <t>其他活动/运维问题</t>
  </si>
  <si>
    <t>客户现场历史版本存在三方组件漏洞，部分已在后续版本修复或在公司白名单中，当前问题主要是历史版本风险跟踪、升级提醒与现场版本治理，不属于设计活动引入。</t>
  </si>
  <si>
    <t>202605273131</t>
  </si>
  <si>
    <t>【瑞银证券】【安全漏洞】Apache Tomcat 9.0.0.M1 &lt; 9.0.118 multiple vulnerabilities</t>
  </si>
  <si>
    <t>漏洞公开日期晚于现场版本发布日期，属于发版后新披露的第三方组件安全漏洞，应按漏洞跟踪、升级响应和运维治理处理，不属于设计活动引入。</t>
  </si>
  <si>
    <t>202605214098</t>
  </si>
  <si>
    <t>安全漏洞扫描处理</t>
  </si>
  <si>
    <t>工具支撑活动/程序版本错误</t>
  </si>
  <si>
    <t>客户现场版本发布时存在已公开且可由扫描工具检出的组件漏洞，且说明为未经过严格组件扫描卡点，属于版本准入、依赖版本和发布检查支撑问题。</t>
  </si>
  <si>
    <t>202605203464</t>
  </si>
  <si>
    <t>HUNDSUN JAVA应用开发支撑框架软件V3.0</t>
  </si>
  <si>
    <t>【睿远基金】-Nginx漏洞（CVE-2026-42945，CVE-2026-42946，CVE-2026-40701，要求升级NGINX至1.30.1）</t>
  </si>
  <si>
    <t>Nginx 漏洞为近期新增披露的三方组件漏洞，主要依赖版本跟踪、升级计划和现场运维治理处理，原“其他活动/其他”方向正确但二级分类应细化为运维问题。</t>
  </si>
  <si>
    <t>202605194386</t>
  </si>
  <si>
    <t>【工银瑞信】【Apache mina】【漏洞修复】</t>
  </si>
  <si>
    <t>Apache MINA 漏洞公开日期晚于客户现场版本发布日期，属于三方组件后续新增漏洞及依赖安全版本跟踪问题，不应归为架构设计遗漏。</t>
  </si>
  <si>
    <t>202605193323</t>
  </si>
  <si>
    <t>低码1.25.2升级到1.25.1301 IFMSHddmlSelect 组件数据请求的编写方式变了，没有做好兼容</t>
  </si>
  <si>
    <t>其他活动/其他</t>
  </si>
  <si>
    <t>当前分析认为该问题并非产品缺陷：手动拖拽组件原本未支持 JS 面板方式，现象来自历史生成器存量元数据与用户理解差异，不属于需求、设计或编码直接引入。</t>
  </si>
  <si>
    <t>202605134842</t>
  </si>
  <si>
    <t>【推送平台-1.0.67.10 | 推送平台SDK-1.0.46.12】推送平台存在公司高危安全漏洞，需要修复</t>
  </si>
  <si>
    <t>三方组件漏洞已被日构建扫描识别，且部分依赖需等待框架修复后升级，属于漏洞跟踪、依赖升级和修复周期管理问题，不属于设计活动引入。</t>
  </si>
  <si>
    <t>202605074632</t>
  </si>
  <si>
    <t>【离线同步工具包】datago离线同步工具包（CVE-2023-20883、CVE-2025-48924、CVE-2025-41249）</t>
  </si>
  <si>
    <t>漏洞主要涉及客户历史版本、白名单或后续版本已修复后的升级提醒、风险监控和对客预警，属于运维治理问题，不宜归为架构设计活动。</t>
  </si>
  <si>
    <t>202605074631</t>
  </si>
  <si>
    <t>【离线计算】spark环境安全漏洞（CVE-2025-48924）</t>
  </si>
  <si>
    <t>该漏洞处理重点在历史版本风险监控、后续修复版本对客预警和客户升级治理，属于运维问题，不宜归为架构设计活动。</t>
  </si>
  <si>
    <t>项目</t>
  </si>
  <si>
    <t>数据来源</t>
  </si>
  <si>
    <t>现场缺陷5月_引入原因分类复核.xlsx（用户上传，工作表：需求列表，共22条缺陷）</t>
  </si>
  <si>
    <t>筛选口径</t>
  </si>
  <si>
    <t>仅分析“调整后的缺陷引入原因分类”为设计活动/编码活动/架构设计活动的条目，共12条；其他10条不进入逐条分析。</t>
  </si>
  <si>
    <t>分析模板</t>
  </si>
  <si>
    <t>沿用3月分析最终版结构：统计看板、逐条分析、新增扩展指引建议、Taxonomy与编号规则、判定口径；本次额外增加“未纳入分析条目”用于过滤追溯。</t>
  </si>
  <si>
    <t>既有设计指引来源</t>
  </si>
  <si>
    <t>性能设计指引、安全设计指引、可观测性设计指引、可靠性设计指引、兼容性设计指引、用户体验-问题场景导向设计指引、缓存-问题场景导向设计指引、资源管理-问题场景导向设计指引、配置项-问题场景导向设计指引。</t>
  </si>
  <si>
    <t>判定：违反已有指引</t>
  </si>
  <si>
    <t>缺陷根因与既有指引中的规则高度匹配，按既有规则开展设计评审、开发自检、测试设计或发布门禁即可提前发现或阻断。</t>
  </si>
  <si>
    <t>判定：部分覆盖，需扩展</t>
  </si>
  <si>
    <t>已有指引提供原则性覆盖，但缺少该缺陷场景的专项检查项、设计模板、验证方法或具体准出指标。</t>
  </si>
  <si>
    <t>判定：未覆盖，建议新增</t>
  </si>
  <si>
    <t>既有指引没有直接覆盖关键问题场景，建议新增专项设计指引或纳入新的问题场景。</t>
  </si>
  <si>
    <t>判定：已有指引覆盖，不新增</t>
  </si>
  <si>
    <t>问题主要是编码实现或执行闭环；既有设计指引足以作为输入，不额外新增设计指引。</t>
  </si>
  <si>
    <t>沿用全量指引前缀体系：CMP/RES/CFG/CACHE/UX/REL/PERF/SEC/OBS，不使用临时编号。</t>
  </si>
  <si>
    <t>【密级：秘密 恒生  **导出操作会被记录，数据内容仅限于工作用途，不得超范围扩散。】</t>
  </si>
  <si>
    <t>标题</t>
  </si>
  <si>
    <t>需求描述</t>
  </si>
  <si>
    <t>缺陷影响</t>
  </si>
  <si>
    <t>测试遗漏缺陷类型</t>
  </si>
  <si>
    <t>遗漏原因分类</t>
  </si>
  <si>
    <t>技术类引入原因</t>
  </si>
  <si>
    <t>引入原因分析</t>
  </si>
  <si>
    <t>开发改进措施</t>
  </si>
  <si>
    <t>测试遗漏原因分析</t>
  </si>
  <si>
    <t>测试改进措施</t>
  </si>
  <si>
    <t>(发现core)环境信息:发生机器:证券_10.20.153.235_x000D_
文件路径:/home/hundsun/uft30/usescbp/workspace/core.47848_x000D_
发生时间：2026-05-26 18:51:50.683889816 +0800_x000D_
=============================_x000D_
core文件内容：Core was generated = by hsldp startdaemon secu_uft30 usescbp62#0 -s 10.20.153.239:2181'. Program terminated with signal 11, Segmentation fault. #0 0x00007f9567a1d090 in ?? () #0 0x00007f9567a1d090 in ?? () #1 0x0000000067a1d090 in ?? () #2 0x0000000000000000 in ?? () = by hsldp startdaemon secu_uft30 usescbp62#0 -s 10.20.153.239:2181'. Program terminated with signal 11, Segmentation fault. #0 0x00007f9567a1d090 in ?? () #0 0x00007f9567a1d090 in ?? () #1 0x0000000067a1d090 in ?? () #2 0x0000000000000000 in ?? ()_x000D_
附件:</t>
  </si>
  <si>
    <t>【问题分析】_x000D_
【问题影响】_x000D_
【修改方案】</t>
  </si>
  <si>
    <t>功能</t>
  </si>
  <si>
    <t>影响面评估不足</t>
  </si>
  <si>
    <t>问题现象(发生的条件、现象)：程序退出时偶现mdb_data崩溃_x000D_
直接原因:程序退出时，remoter已经进行了rpcclient资源的释放。uftmdb的序列号线程在此时如果仍然在使用rpcclient对象进行调用访问，就会导致出现崩溃_x000D_
根本原因(必填):当时修复另一个缺陷分析时，认为在stop阶段和eixt阶段重复掉用signout函数，且该signout函数会进行资源释放的行为在stop阶段调用不合理，提前释放资源可能会导致核心使用过程中出现隐患（目前的设计逻辑是，在stop进行停止动作，在exit中进行资源销毁），在方案评审时得出结论，可以注释掉stop过程中的signout函数，并经mdb组的同事分析注释不影响程序正常使用，就注释了上述函数在stop中的使用。但是实际上该函数同时还会进行线程的暂停和注销，导致这部分逻辑后移到了exit处理，当资源释放时序触发到直接原因中说明的那个窗口，即remoter已经释放了资源，但由于还没有走到mdb插件的资源释放，导致在mdb的线程中仍在使用该资源，导致程序崩溃。_x000D_
根因分类(参考“LDP缺陷复盘分类项参考.xls”里的分类项):资料缺失_x000D_
缺陷引入需求编号：202409203376_x000D_
缺陷代码片段截图：</t>
  </si>
  <si>
    <t>当前缺陷改动方案:仅评估后，恢复原代码不影响逻辑，对相关内容增加注释后，恢复原先的代码修改。后续增加计划评估是否mdb需要增加一个stop流程用于进行线程停止_x000D_
代码里是否有同类问题:：无_x000D_
改进措施(必填):函数的外部接口需要补充相应注释，尤其是外部接口中对于线程资源的处理，本身现成的使用逻辑，对外部其他线程的资源依赖等相关内容_x000D_
责任人:章浩_x000D_
计划完成时间:2026.12.30_x000D_
当前是否已经补充到自动化用例:无</t>
  </si>
  <si>
    <t>【背景说明】：（还原：在什么前提下，谁做了什么事情，导致什么问题，越详细提炼出来的关键字越聚焦）_x000D_
业务usescbp服务在退出时偶现core_x000D_
【根因分析】：_x000D_
1. 【是否需求缺失引起】（是/否）：_x000D_
2. 【是否有需求但设计缺失】（是/否）：_x000D_
3. 【是否需求和设计有，但测试设计缺失】（是/否）：_x000D_
4. 【是否修改影响面评估不足导致测试设计缺失】（是/否）：是，#202412275106 【需求分期：一期功能】内存交易需要支持重演引入问题，未评估到此影响，同时复现概率很低，在修复时也未完全复现_x000D_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</si>
  <si>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</si>
  <si>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【需求/问题描述】必填！勿忘！否则回复邮件内容为空！_x000D_
【预期方案】_x000D_
【当前版本】_x000D_
【期望支持版本】</t>
  </si>
  <si>
    <t>类型变更_x000D_
【原需求背景】_x000D_
【问题描述/需求背景】：HSKAFKA/DATAGO/HDF  中存在安全漏洞，详见附件_x000D_
【问题原因及影响】：排查过程+定位原因+问题影响 _x000D_
【临时/预期解决方案】：如已临时处理请描述临时解决方案 _x000D_
【排查人】：_x000D_
【问题版本】：_x000D_
【预期解决版本及时间】：_x000D_
【(客户)对需求实现/解决方案的预期】</t>
  </si>
  <si>
    <t>安全性</t>
  </si>
  <si>
    <t>无法定位</t>
  </si>
  <si>
    <t>设计活动/其他</t>
  </si>
  <si>
    <t>历史版本安全漏洞不做分析</t>
  </si>
  <si>
    <t>【背景说明】：（还原：在什么前提下，谁做了什么事情，导致什么问题，越详细提炼出来的关键字越聚焦）_x000D_
客户扫描发现多个三方组件存在安全漏洞，现场版本发布时间2025-12-31。涉及的6个三方组件，在公司级白名单中。其余组件在早前版本已经修复。相关漏洞杰蛙xray均可检出。_x000D_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【其它原因】：是，客户现场版本过低，大部分组件漏洞已经在后续版本修复，部分未修复组件均在白名单中。</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</si>
  <si>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【修改影响面评估不足导致测试设计缺失】(是否改进，如何改进？)：_x000D_
5. 【测试执行不全面引起（时间原因？策略原因？）】(是否改进，如何改进？)：否_x000D_
6. 【其它原因】(是否改进，如何改进？)：是，建议研发团队加强针对三方组件安全漏洞的风险隐患管理，及时通知客户进行升级。</t>
  </si>
  <si>
    <t>存在系统全局配置出部分数据库脚本缺少risk_remind_info字段，需补全以与Oracle、MySQL脚本一致</t>
  </si>
  <si>
    <t>需求、设计不明确或缺失</t>
  </si>
  <si>
    <t>背景分析：_x000D_
【引入问题的需求OR缺陷】：https://dev.hundsun.com/frameV2/pms/storyNew?project_ids=940&amp;story_id=118882，备注：引入版本过于老旧，无法选中_x000D_
【问题回顾】：_x000D_
1）业务需求是谁录入的（业务需求是否有问题）：王威_x000D_
2）方案是谁做的（方案和跨子系统需求拆分是否有问题）：杜广龙_x000D_
3）效能特性需求谁录入需求的（这个特性下的需求录入是否有问题）：_x000D_
4）开发是谁开发的（编码是否有问题、联调是否有问题）：杜广龙_x000D_
直接原因：本次修改仅更新了 MySQL、Oracle 数据库模板，遗漏 TiDB、OB 数据库对应脚本模板_x000D_
根因分析：_x000D_
【资源(人力/软件/硬件)】：_x000D_
【能力】：对插件不熟悉，对资源脚本的数据库类型（TiDB、OB）认知不足，仅熟悉常用的 MySQL、Oracle，未完整覆盖改造范围_x000D_
【态度&amp;意愿】：_x000D_
【时间】：_x000D_
【方法】：开展脚本改造前，未全面梳理当前环境所有数据库类型及对应模板清单，缺少全量范围排查动作_x000D_
【流程/规则】：_x000D_
【历史资料】：</t>
  </si>
  <si>
    <t>改进措施：改进措施必须能对应根本原因_x000D_
【资源(人力/软件/硬件)】：_x000D_
【能力】：_x000D_
【态度&amp;意愿】：_x000D_
【时间】：_x000D_
【方法】：改造脚本前，通过界面确认资源对应的所有脚本类型，确认改造范围_x000D_
【流程/规则】：_x000D_
【历史资料】：</t>
  </si>
  <si>
    <t>【背景说明】:(还原:在什么前提下，谁做了什么事情，导致什么问题，越详细提炼出来的关键字越聚焦)_x000D_
引入版本：https://dev.hundsun.com/frameV2/pms/storyNew?project_ids=940&amp;story_id=118882，备注：引入版本过于老旧，无法找到版本_x000D_
引入需求：#202109131458_x000D_
问题现象：使用系统全局配置脚本生成的TiDB、OB数据库会缺失risk_remind_info字段。_x000D_
问题原因：_x000D_
1.【是否需求缺失引起】(是/否): _x000D_
2.【是否有需求但设计缺失】(是/否): 是_x000D_
需求/设计维度：需求未明确验证的数据库范围，设计中也未明确需要覆盖的数据库范围_x000D_
测试设计维度：用例范围只覆盖了常用的MySQL和ORACLE数据库_x000D_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</si>
  <si>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需求/设计维度：补充明确的数据库类型范围要求_x000D_
测试设计维度：补充对应的测试用例_x000D_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</si>
  <si>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【问题现象】_x000D_
缺陷引起的问题现象是什么，描述操作步骤或者业务流程，可举例或者截图_x000D_
【影响分析】_x000D_
【对内影响】：SeeWeb，独立进程CAS_x000D_
【对外影响】：修复安全漏洞_x000D_
【初步方案】：_x000D_
SeeWeb：tomcat从9.0.117升级到 9.0.118_x000D_
CAS ： tomcat从10.1.54升级到 10.1.55_x000D_
【修复设计】_x000D_
【接口设计】：不涉及_x000D_
【功能逻辑设计】：不涉及_x000D_
【异常处理】：不涉及_x000D_
【非功能设计】_x000D_
【性能】：不涉及_x000D_
【兼容性】：不涉及_x000D_
【其他（安全、可靠性、可维护性）】：修复安全漏洞_x000D_
【约束条件】：无_x000D_
【验收标准】_x000D_
缺陷修复验收标准_x000D_
【测试点描述】（切记，不是设计用例。是给测试提供输入）_x000D_
【测试点-功能测试】：_x000D_
1. SeeWeb 启动正常，基本功能可用，SeeWeb Tomcat已升级到9.0.118_x000D_
2. 独立进程CAS启动正常，登录登出功能可用，独立进程CAS内嵌Tomcat已升级到10.1.55_x000D_
（version.sh）_x000D_
【测试点-错误异常处理】：无_x000D_
【测试点-性能】：无_x000D_
【测试点-兼容性】：无_x000D_
【测试点-其他非功能】：无</t>
  </si>
  <si>
    <t>类型变更_x000D_
【原需求背景】_x000D_
需求录入人仅需提供如下信息，详细程度越高可帮助提高需求分析、设计、排期及实现效率。_x000D_
需求背景_x000D_
【业务背景】：项目阶段，客户重视程度，对项目的阻断程度等相关背景信息_x000D_
【使用场景】：产品使用场景，实施或者客户的使用场景时什么_x000D_
【业务所期待解决的问题】：现状问题是什么，依赖哪些平台功能_x000D_
【产品背景】：SEE2.0产品当前现状是什么_x000D_
【功能截图】：SEE2.0产品使用的功能截图【重要：截图可以具象化帮助大家理解问题】_x000D_
客户_x000D_
【项目/产品名称】：外部客户项目以及相关的业务域和产品_x000D_
【外部客户】：外部客户名称_x000D_
版本_x000D_
【版本信息】：必填产生需求的SEE2.0版本号_x000D_
【三方依赖】：需求或缺陷所涉及的三方依赖_x000D_
需求价值：需求上线的直接或间接价值是什么_x000D_
期望上线时间：业务背景或需求价值决定上线时间_x000D_
--------------------------------------------------------------------------------------------------------------------------------_x000D_
以下由SEE产品经理填写，需求提交人无需填写_x000D_
需求目标_x000D_
需要实现的目标_x000D_
需求设计/方案_x000D_
【子系统/模块】_x000D_
【功能描述】_x000D_
【权限描述】_x000D_
【界面参考】_x000D_
需求影响范围_x000D_
【用户或关联方影响】_x000D_
【子系统/模块】_x000D_
【三方系统】_x000D_
需求验收标准_x000D_
产品需求验收标准_x000D_
需求变更记录_x000D_
【无变更】_x000D_
适用制品范围_x000D_
SEE2.0-linux-Vxxxxxx-xx-xxx.zip：SEE所有基础包_x000D_
SEE2.0-linux-Vxxxxxx-xx-xxx-Arm-V10.zip：SEE所有Arm信创包_x000D_
非功能性_x000D_
【兼容】_x000D_
【性能】_x000D_
【安全】_x000D_
【可靠性】_x000D_
【容量】</t>
  </si>
  <si>
    <t>【直接原因】_x000D_
CVE ID 漏洞名称 严重等级 问题核心描述_x000D_
CVE-2026-43512 摘要认证绕过 中危 配置 DIGEST 认证时，任意未知用户都能通过认证，导致未授权访问受保护资源_x000D_
CVE-2026-43515 安全约束未正确应用 中危 多个 &lt;security-constraint&gt; 对同一 URL 扩展模式定义不同 HTTP 方法约束时，仅应用第一个约束，其余被忽略，可绕过访问控制_x000D_
CVE-2026-43513 LockOutRealm 大小写敏感处理缺陷 低危 锁定用户时用户名大小写处理不一致，可能导致锁定策略被绕过或误判_x000D_
CVE-2026-42498 WebSocket 认证头泄露 低危 WebSocket 认证过程中，HTTP 认证头可能意外泄露给非预期主机_x000D_
CVE-2026-41293 HTTP/2 头验证缺陷 低危 HTTP/2 实现中对请求头的验证不足，可能导致请求解析异常或拒绝服务_x000D_
CVE-2026-43514 WebDAV 请求体大小未限制 低危 WebDAV 的 LOCK/PROPFIND 请求体无大小限制，可被用于 DoS 攻击（对应变更日志中新增的 maxRequestBodySize 参数）_x000D_
CVE-2026-41284 AJP 密钥比较缺陷 低危 AJP 协议密钥比较逻辑存在问题，可能被暴力破解或绕过CVE ID 漏洞名称 严重等级 问题核心描述_x000D_
CVE-2026-43512 摘要认证绕过 中危 配置 DIGEST 认证时，任意未知用户都能通过认证，导致未授权访问受保护资源_x000D_
CVE-2026-43515 安全约束未正确应用 中危 多个 &lt;security-constraint&gt; 对同一 URL 扩展模式定义不同 HTTP 方法约束时，仅应用第一个约束，其余被忽略，可绕过访问控制_x000D_
CVE-2026-43513 LockOutRealm 大小写敏感处理缺陷 低危 锁定用户时用户名大小写处理不一致，可能导致锁定策略被绕过或误判_x000D_
CVE-2026-42498 WebSocket 认证头泄露 低危 WebSocket 认证过程中，HTTP 认证头可能意外泄露给非预期主机_x000D_
CVE-2026-41293 HTTP/2 头验证缺陷 低危 HTTP/2 实现中对请求头的验证不足，可能导致请求解析异常或拒绝服务_x000D_
CVE-2026-43514 WebDAV 请求体大小未限制 低危 WebDAV 的 LOCK/PROPFIND 请求体无大小限制，可被用于 DoS 攻击（对应变更日志中新增的 maxRequestBodySize 参数）_x000D_
CVE-2026-41284 AJP 密钥比较缺陷 低危 AJP 协议密钥比较逻辑存在问题，可能被暴力破解或绕过_x000D_
【根本原因】_x000D_
  主观原因：对 Tomcat 官方高频安全更新的跟踪与评估机制不够主动，未建立常态化的版本巡检与快速响应流程，导致安全补丁响应存在滞后_x000D_
  客观原因 ：上月刚完成 Tomcat 9.0.117 的升级与验证，没有在月度内连续跟进新版本更新。_x000D_
【问题影响】系统存在安全风险</t>
  </si>
  <si>
    <t>【修改方案】：_x000D_
SeeWeb：tomcat从9.0.117升级到 9.0.118_x000D_
CAS ： tomcat从10.1.54升级到 10.1.55_x000D_
【改进措施】：每月追踪Tomcat官方发布的安全漏洞列表 _x000D_
责任人：白鑫</t>
  </si>
  <si>
    <t>【背景说明】：客户扫描tomcat存在多个安全漏洞，相关漏洞公开日期为2026/5/13，晚于现场版本发布日期2026-01-30_x000D_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【其它原因】：是，属于三方组件日常新增安全漏洞，是正常情况。</t>
  </si>
  <si>
    <t>【改进措施、关键行动项】（可以在方法、资源、时间、流程这些方面展开）_x000D_
1. 【需求缺失引起】(是否改进，如何改进？)：否_x000D_
2. 【有需求但设计缺失】(是否改进，如何改进？)： 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</si>
  <si>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*【功能需求】描述业务需求的功能设计，如有数据运算，应提供算法描述；
 *【非功能需求】性能（穿透时延、接口响应时间、并发数等）、稳定性、安全性、</t>
  </si>
  <si>
    <t>类型变更_x000D_
【原需求背景】_x000D_
【外部客户名称-联系人】外部客户名称 - 外部客户联系人（可选）；光大永明资产，戴华鑫、常文程_x000D_
【业务系统名称】投资交易系统O32_x000D_
【所使用的行情制品】uhq、行情适配器_x000D_
【预计上线日期】6月13日_x000D_
【业务场景描述】uhq读取上海行情失败，报错G8 is not a valid integer value，失败原因同需求：202604234354。此报错会导致uhq读该行情文件时，一条数据都无法读取，影响较大。uhq需要修复。_x000D_
维护确认人：高丽媛_x000D_
【(客户)对需求实现/解决方案的预期】</t>
  </si>
  <si>
    <t>多业务混合场景分析遗漏</t>
  </si>
  <si>
    <t>【根因】_x000D_
【根因分类】 系统容错性不足 / 缺少对于外部请求的合法性校验、边界条件考虑不足_x000D_
- Why 1 : 为什么读取行情文件失败？_x000D_
- 答：因为解析字段时遇到了 "G8 is not a valid integer value" 错误_x000D_
- Why 2 : 为什么会报这个错误？_x000D_
- 答：因为字段解析错位，将字符串 "G8" 当作成交量字段（整数）解析_x000D_
- Why 3 : 为什么字段解析会错位？_x000D_
- 答：因为中文字符 "珅"（UTF-8 编码为 0xAB 0x7C）的第二个字节 0x7C 恰好是字段分隔符 | 的 ASCII 码_x000D_
- Why 4 : 为什么会将中文字符的字节当作分隔符？_x000D_
- 答：因为解析代码使用单字节字符处理方式，没有考虑多字节编码的中文字符可能包含分隔符字节的情况_x000D_
- Why 5 : 为什么没有考虑这种情况？_x000D_
- 答：系统容错性不足，缺少对外部数据编码的合法性校验，边界条件考虑不足_x000D_
- Why 6 : 为什么自测没有发现该问题？_x000D_
- 答：交易所的实时行情文件mktdt00.txt和mktdt02.txt没有该问题，只在交易所的仿真测试文件mktdt92.txt中出现了该情况，而且这个代码名称也是最近增加的，所以以前未触发该问题_x000D_
【问题现象】_x000D_
上海证券行情文件读取失败，报错 "G8 is not a valid integer value" ，导致 UHQ 读取该行情文件时无法正常读取。_x000D_
【问题影响】_x000D_
- 影响范围 ：使用 UHQ 行情【上海证券行情】的所有客户_x000D_
- 严重程度 ：高（导致行情数据完全无法读取，目前只影响仿真测试行情）_x000D_
【问题分析】_x000D_
【时序图】_x000D_
行情文件 → 读取文件 → 按分隔符解析 → 字段提取 → 类型转换 → 报错_x000D_
                        ↓                   ↓                          ↓_x000D_
                   读取成功       解析错位            数据错误_x000D_
【关键算法】_x000D_
// 伪代码展示问题所在_x000D_
string line = "字段1|字段2|字段3|珅字段4|字段5";_x000D_
vector&lt;string&gt; fields = split(line, '|');  // 使用单字节分隔符分割_x000D_
// 分割结果：["字段1", "字段2", "字段3", "珅", "字段4", "字段5"]_x000D_
// 期望结果：["字段1", "字段2", "字段3", "珅字段4", "字段5"]_x000D_
由于 "珅" 字的 UTF-8 编码为 0xAB 0x7C ，第二个字节 0x7C 恰好等于分隔符 | 的 ASCII 码，导致字符串被错误分割。_x000D_
【修改方案】_x000D_
 【模块、业务过程】_x000D_
涉及模块：UHQ行情适配器，上海证券行情插件_x000D_
业务过程：上海行情文件读取 → 字段解析 → 数据转换 → 行情发布_x000D_
 【修改逻辑】_x000D_
修改上海证券行情插件，解析行情数据时，改成使用固定长度截取数据值（交易所文件行情格式约定每个字段的长度是固定的），解决使用分隔符获取字段值时、由于字段值包含了分隔符导致数据错位的问题。_x000D_
【是否涉及文档修改】不涉及_x000D_
【用户手册】: 不涉及_x000D_
【接口文档】:不涉及_x000D_
【数据库文档】:不涉及_x000D_
【其他】不涉及_x000D_
【文档修改内容和链接】不涉及</t>
  </si>
  <si>
    <t>【人力/时间】不涉及_x000D_
【能力】未识别到交易所行情文件的代码名称可能包含'|'分隔符_x000D_
【方法，流程】_x000D_
1. 缺陷控制点 ：_x000D_
- 需求阶段：增加对外部数据编码的校验要求_x000D_
- 设计阶段：明确字段分隔符的编码安全要求_x000D_
- 开发阶段：增加单元测试覆盖边界场景_x000D_
- 测试阶段：增加异常数据测试用例_x000D_
2. 流程改进 ：_x000D_
- 在代码审核时增加对外部数据处理的审查要点_x000D_
- 建立异常数据测试用例库_x000D_
【资料】不涉及_x000D_
【其他】无_x000D_
【AP】无</t>
  </si>
  <si>
    <t>【背景说明】：UHQ适配器读取mktdt00文件遇到异常汉字"珅"，导致解析字段时遇到了 "G8 is not a valid integer value" 错误_x000D_
【根因分析】：_x000D_
1. 【是否需求缺失引起】（是/否）：否_x000D_
2. 【是否有需求但设计缺失】（是/否）：否_x000D_
3. 【是否需求和设计有，但测试设计缺失】（是/否）：是，测试分析时未考虑字符的编码值和分隔符 | 的 ASCII 码一致情况_x000D_
4. 【是否修改影响面评估不足导致测试设计缺失】（是/否）：否_x000D_
5. 【是否测试执行不全面引起（时间原因？策略原因？）】（是/否）：否_x000D_
6. 【其它原因】：否</t>
  </si>
  <si>
    <t>测试改进措施（请根据以上根因分析，做对应的改进措施，形成闭环）_x000D_
[改进措施、关键行动项]（可以在方法、资源、时间、流程这些方面展开）_x000D_
1. 【需求缺失引起】(是否改进，如何改进？)：否_x000D_
2. 【有需求但设计缺失】(是否改进，如何改进？)：否_x000D_
3. 【需求和设计有，但测试设计缺失】(是否改进，如何改进？)：文件稳定性测试点中增加字符编码值的检查_x000D_
4. 【修改影响面评估不足导致测试设计缺失】(是否改进，如何改进？)：否_x000D_
5. 【测试执行不全面引起（时间原因？策略原因？）】(是否改进，如何改进？)：否_x000D_
6. 【其它原因】(是否改进，如何改进？)：否</t>
  </si>
  <si>
    <t>类型变更_x000D_
【原需求背景】_x000D_
【光大理财微信服务号】SEE平台漏洞修复：spring framework目录遍历漏洞_x000D_
转给研发中心 SEE平台_x000D_
漏洞问题：_x000D_
【(客户)对需求实现/解决方案的预期】</t>
  </si>
  <si>
    <t>开发未修复</t>
  </si>
  <si>
    <t>【直接原因】安全扫描发现安全漏洞，Spring Framework存在路径遍历漏洞，当应用程序使用 RouterFunctions 来处理静态资源且资源处理通过 FileSystemResource 进行配置时，攻击者可以通过构造恶意 HTTP 请求，利用路径遍历漏洞获取文件系统中的任意文件。_x000D_
【根本原因】（通过直接原因或者更深层原因来分析根因，关注分析问题引入点和问题控制点）_x000D_
  主观原因：产品开发过程中对开源组件版本的安全更新关注不足，未建立定期安全扫描和组件升级机制，依赖组件长期停留在历史版本。_x000D_
  客观原因：Spring Framework 目录遍历漏洞修复需升级至6.x版本，当前5.3.39，而Spring 6.x必须运行在JDK 17之上，当前SEE2.0产品基于JDK 8构建，框架升级涉及数百人日工作量，短期内无法完成。公司内部目前通过加白名单方式临时规避。_x000D_
【问题影响】客户安全扫描不通过，影响系统上线和合规验收。</t>
  </si>
  <si>
    <t>【修改方案】：
推进JDK 17 + Spring 6.x框架升级专项，预计2026年Q3启动评估，Q4启动开发
【改进措施】：_x000D_
1. 建立开源组件安全漏洞定期扫描机制，每季度执行一次全量CVE扫描；_x000D_
2. 制定组件版本升级基线策略，在新版本开发中优先使用安全修复版本；_x000D_
3. 推进JDK 17 + Spring 6.x技术栈升级专项评估与实施，从根本上解决Spring系列漏洞。</t>
  </si>
  <si>
    <t>【背景说明】：客户扫描发现spring framework存在多个安全漏洞，相关漏洞均已添加白名单。_x000D_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【其它原因】：是，由于升级spring框架需要适配jdk 17，当前已做规划，相关漏洞已添加白名单处理。</t>
  </si>
  <si>
    <r>
      <rPr>
        <sz val="11"/>
        <color rgb="FF000000"/>
        <rFont val="Microsoft YaHei"/>
        <family val="2"/>
        <charset val="134"/>
      </rPr>
      <t>架构设计活动</t>
    </r>
    <r>
      <rPr>
        <sz val="11"/>
        <color indexed="8"/>
        <rFont val="Calibri"/>
        <family val="2"/>
      </rPr>
      <t>/</t>
    </r>
    <r>
      <rPr>
        <sz val="11"/>
        <color rgb="FF000000"/>
        <rFont val="Microsoft YaHei"/>
        <family val="2"/>
        <charset val="134"/>
      </rPr>
      <t>架构设计遗漏项</t>
    </r>
    <phoneticPr fontId="13" type="noConversion"/>
  </si>
  <si>
    <t>统一sql将oracle的sql转为mysql、pg的sql时，不应将系统支持的原生函数替换为统一SQL自定义的函数，当前模式生成的sql虽然转换规则统一了，但统一sql自定义函数容易导致性能损耗，也增加了不确定性，替换时如果sql中使用了数据库原生函数，就不要替换为统一SQL的函数
统一SQL版本：25.3.2.2</t>
  </si>
  <si>
    <t>类型变更_x000D_
【原需求背景】_x000D_
【需求原因】统一SQL替换自定义函数后导致性能问题，如华泰柏瑞已经出现两次性能问题</t>
  </si>
  <si>
    <t>问题现象(发生的条件、现象)：在客户迁移数据过程中，发现emptystr2null运行速度比较慢，影响业务运行速度_x000D_
直接原因:   在兼容oracle和pg的空串行为中，采用了自定义函数方案，自定义函数在pg数据库中比普通的is null运行本身比较慢，_x000D_
根本原因(必填):  在设计统一SQL转换方案过程中，未充分考虑运行时性能影响_x000D_
根因分类(参考缺陷复盘里的分类项):   性能</t>
  </si>
  <si>
    <t>当前缺陷改动方案:  修改实现方案，研究采用更高效的方案_x000D_
代码里是否有同类问题: 是_x000D_
改进措施(必填):  _x000D_
1. 梳理自定义函数实现方案，是否可以优化。 如果可以优化则制定优化方案。如果不能优化则说明性能影响。_x000D_
2. 设计要求统一SQL转换需求都要验证性能影响。_x000D_
责任人: 周华军_x000D_
计划完成时间: 2026-06-30_x000D_
当前是否已经补充到自动化用例: 是</t>
  </si>
  <si>
    <t>测试遗漏原因分析_x000D_
【背景说明】：_x000D_
版本：LightDB1.0.V202501.01.000_x000D_
需求：#202503253590 统一SQL - 支持oracle(19c)2pg(13.5) 集中式 函数入参空和null一致性优化https://dev.hundsun.com/frameV2/pms/storyNew?project_ids=200003841&amp;story_id=7874102_x000D_
问题原因：需求和设计中未包含性能要求。_x000D_
【根因分析】：_x000D_
1. 【是否需求缺失引起】（是/否）：是_x000D_
2. 【是否有需求但设计缺失】（是/否）：_x000D_
3. 【是否需求和设计有，但测试设计缺失】（是/否）：_x000D_
4. 【是否修改影响面评估不足导致测试设计缺失】（是/否）：_x000D_
5. 【是否测试执行不全面引起（时间原因？策略原因？）】（是/否）：_x000D_
6. 【其它原因】：</t>
  </si>
  <si>
    <t>测试改进措施（请根据以上根因分析，做对应的改进措施，形成闭环）_x000D_
[改进措施、关键行动项]（可以在方法、资源、时间、流程这些方面展开）_x000D_
1. 【需求缺失引起】(是否改进，如何改进？)：对于函数类的需求，必须要有性能验收标准，测试在评审时会要求必须要给出。_x000D_
2. 【有需求但设计缺失】(是否改进，如何改进？)：_x000D_
3. 【需求和设计有，但测试设计缺失】(是否改进，如何改进？)：_x000D_
4. 【修改影响面评估不足导致测试设计缺失】(是否改进，如何改进？)：_x000D_
5. 【测试执行不全面引起（时间原因？策略原因？）</t>
  </si>
  <si>
    <t>bdata-driver安全扫描3个漏洞，详见附件_x000D_
1、POC检测原理：|POC检测结果：- kafka-clients-3.4.0.jar_x000D_
当前安装版本：3.4.0_x000D_
进程PID：2035328_x000D_
应用路径：/besweb/bdata/app/bdata-driver/common-driver/lib/kafka/kafka-clients-3.4.0.jar_x000D_
当前系统存在此漏洞_x000D_
修复建议:_x000D_
将 Kafka 升级到 3.9.1 及以上版本，下载地址：https://kafka.apache.org/quickstart_x000D_
2、版本比对检测原理：检查当前系统中hadoop-common版本是否在受影响版本范围内|版本比对检测结果：-_x000D_
hadoop-common_x000D_
当前安装版本：2.7.2-transwarp-5.2.4_x000D_
应用相关信息：_x000D_
- 进程PID：2035328_x000D_
- 应用路径：/besweb/bdata/app/bdata-api/data-datasource/plugins/hive-tdh5/lib/hadoop-common-_x000D_
2.7.2-transwarp-5.2.4.jar_x000D_
- hadoop-common_x000D_
当前安装版本：2.6.0_x000D_
应用相关信息：_x000D_
- 进程PID：2035328_x000D_
- 应用路径：/besweb/bdata/app/bdata-driver/cdh5.14.2-driver/lib/hive/hadoop-common-2.6.0.jar_x000D_
该主机存在此漏洞_x000D_
修复建议:_x000D_
将 Hadoop 升级到 2.10.2、3.2.4、3.3.3 及以上版本，下载地址：https://hadoop.apache.org/releases.html_x000D_
3、版本比对检测原理：检查当前系统中Avro版本是否在受影响版本内|版本比对检测结果：- Avro_x000D_
当前安装版本：1.11.3_x000D_
应用相关信息：_x000D_
- 进程PID：2035328_x000D_
- 应用路径：/besweb/bdata/app/bdata-driver/cdh5.14.2-driver/opensource/spark/avro-1.11.3.jar_x000D_
该主机存在此漏洞_x000D_
修复建议:_x000D_
将 Apache Avro 升级到最新版本，下载地址：https://github.com/apache/avro/_x000D_
若涉及中间件问题，请更新中间件</t>
  </si>
  <si>
    <t>类型变更_x000D_
【原需求背景】_x000D_
客户 【提出人】： 【项目/产品名称】：【外部客户】：  
【预计上线时间】：_x000D_
【是否有合同】：
版本【版本信息】：（客户当前使用的BData模块对应的版本，新客户写无）【三方依赖】： 【数据库】： 【操作系统】： 【其他】： 
数据库类型：MySQL / PostgreSQL / Oracle / SQL Server / MongoDB / Redis / ..._x000D_
数据库版本：(例如：MySQL 8.0.28, Oracle 19c) _x000D_
部署模式：集群 / 单机 / 主从复制 / 读写分离_x000D_
细分部署模式：	(例如：一主一从、一主多从、MGR集群、哨兵模式、分片集群）_x000D_
需求方是否可提供开发测试环境：是 / 否 需求背景 【业务背景】：  【业务使用场景】：【业务所期待解决的问题】： 【产品背景】：  实现目标 （时间目标）【客户要求】： 【业务产品目标】：</t>
  </si>
  <si>
    <t>架构设计活动/其他</t>
  </si>
  <si>
    <t>【背景说明】：（还原：在什么前提下，谁做了什么事情，导致什么问题，越详细提炼出来的关键字越聚焦）_x000D_
客户扫描发现Hadoop、Avro、Kafka分别存在下述漏洞（客户现场版本实际发布日期2025-10-29）：_x000D_
Apache Hadoop 命令注入漏洞(CVE-2022-25168)，不在白名单中。_x000D_
Apache Avro 远程代码执行漏洞(CVE-2024-47561)，在白名单中。_x000D_
Apache Kafka Client 服务端请求伪造漏洞(CVE-2025-27817)，在白名单中。_x000D_
上述漏洞，杰蛙xray均可检出，且漏洞公开日期早于版本发布日期。Apache Hadoop 命令注入漏洞(CVE-2022-25168)不在白名单中。另外2个在白名单中。_x000D_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【其它原因】：是，客户现场历史版本发布时未经过严格的组件扫描卡点。</t>
  </si>
  <si>
    <t>[改进措施、关键行动项]（可以在方法、资源、时间、流程这些方面展开）_x000D_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【其它原因】(是否改进，如何改进？)：是，建议研发团队加强组件扫描卡点执行。</t>
  </si>
  <si>
    <t>近期新增披露的三方组件漏洞，主要依赖版本跟踪、升级计划和现场运维治理处理，原“其他活动/其他”方向正确但二级分类应细化为运维问题。</t>
  </si>
  <si>
    <t>客户检测出Nginx漏洞：CVE-2026-42945，CVE-2026-42946，CVE-2026-40701。要求升级NGINX至1.30.1版本。</t>
  </si>
  <si>
    <t>类型变更_x000D_
【原需求背景】
 需求背景客户：睿远基金
项目描述：睿远基金金融行业数据生态平台数据门户需求项目
【(客户)对需求实现/解决方案的预期】</t>
  </si>
  <si>
    <t>【根因分析】_x000D_
　　【直接原因】ngx_http_script_regex_end_code函数中，is_args标志位在处理完一个 rewrite 指令后没有被正确重置，导致该标志位泄漏到后续的 rewrite/if/set 指令处理中_x000D_
　　【根本原因】_x000D_
　　　　【主观原因】测试覆盖不足：这些漏洞在代码库中潜伏了多年 (CVE-2026-42945 长达 18 年)，说明现有的测试用例没有覆盖到这些特殊的边界情况_x000D_
　　　　【客观原因】Nginx 为了追求极致的性能，采用了 "先计算长度再分配内存" 的两阶段处理模式，这种模式在提高性能的同时也增加了内存安全风险_x000D_
C 语言的内存安全问题：作为 C 语言编写的程序，Nginx 缺乏自动内存管理机制，容易出现缓冲区溢出、释放后使用等内存安全漏洞_x000D_
【问题影响】攻击者发送特制 HTTP 请求可导致 Nginx worker 进程崩溃并重启，造成服务中断_x000D_
【修改方案】_x000D_
修复 CVE-2026-42945:在函数开始处添加e-&gt;is_args = 0;，重置标志位_x000D_
修复 CVE-2026-42946：IAR未使用SCGI或uWSGI模块，不受影响_x000D_
修复 CVE-2026-40701：未配置ssl_ocsp为 "on"，不受影响_x000D_
【是否涉及文档修改】不涉及_x000D_
【文档修改内容和链接】不涉及</t>
  </si>
  <si>
    <t>【改进措施】_x000D_
短期：检查所有 Nginx 配置文件，识别并修改危险的 rewrite 规则_x000D_
长期：制定 Nginx 版本升级计划，逐步将所有服务器升级到官方支持的最新稳定版本,计划2026年12月</t>
  </si>
  <si>
    <t>客户检测出Nginx漏洞：CVE-2026-42945，CVE-2026-42946，CVE-2026-40701，这3个漏洞公开日期均为2026/5/14，属于近期新增的三方组件漏洞，是正常情况。</t>
  </si>
  <si>
    <t>无</t>
  </si>
  <si>
    <t>Nginx 漏洞为近期新增披露的三方组件漏洞，主要依赖版本跟踪、升级计划和现场运维治理处理，原“其他活动/其他”方向正确但二级分类应细化为运维问题。</t>
    <phoneticPr fontId="13" type="noConversion"/>
  </si>
  <si>
    <t>【需求提出部门/人】_x000D_
【涉及系统】_x000D_
【需求背景】_x000D_
【需求描述】注:现有功能提供菜单和截图_x000D_
历史版本设计器（1.25.1301）中文存成了乱码，需要处理，乱码如何检索出来，需要给出方案</t>
  </si>
  <si>
    <t>类型变更_x000D_
【原需求背景】</t>
  </si>
  <si>
    <t>背景分析：_x000D_
【引入问题的需求OR缺陷】：#HCREATORV2-4991 【性能专项测试】测试模型数据320M，快速打开20个数据表时，打开到13个就出现左侧灰屏，操作不了  缺陷解决时重构范围较大_x000D_
【问题回顾】：_x000D_
1）业务需求是谁录入的（业务需求是否有问题）：王玉豹_x000D_
2）方案是谁做的（方案和跨子系统需求拆分是否有问题）：王玉豹_x000D_
3）效能特性需求谁录入需求的（这个特性下的需求录入是否有问题）：王玉豹_x000D_
4）开发是谁开发的（编码是否有问题、联调是否有问题）：王玉豹_x000D_
已经在如下的版本和补丁上做了修复发布_x000D_
直接原因：消息编码格式错误_x000D_
根因分析：vscode的postMessage机制转网络机制时， 忽视了nodejs对chunk的编码处理_x000D_
【LV1】何时引入问题；_x000D_
【LV2】为什么出现【LV1】；vscode的postMessage机制转网络机制时， 忽视了nodejs对chunk的编码处理_x000D_
【LV3】为什么出现【LV2】；_x000D_
【LV4】为什么出现【LV3】_x000D_
【资源(人力/软件/硬件)】：不涉及_x000D_
【能力】：nodejs的chunk理解不充分_x000D_
【态度&amp;意愿】：不涉及_x000D_
【时间】：不涉及_x000D_
【方法】：不涉及_x000D_
【流程/规则】：不涉及_x000D_
【历史资料】：不涉及</t>
  </si>
  <si>
    <t>改进措施：改进措施必须能对应根本原因_x000D_
【资源(人力/软件/硬件)】：不涉及_x000D_
【能力】：已经更新了设计器工程所有涉及chunk的代码，确保无遗留调整了编码实现方式_x000D_
【态度&amp;意愿】：不涉及_x000D_
【时间】：不涉及_x000D_
【方法】：不涉及_x000D_
【流程/规则】：不涉及_x000D_
【历史资料】：不涉及</t>
  </si>
  <si>
    <t>【背景说明】:(还原:在什么前提下，谁做了什么事情，导致什么问题，越详细提炼出来的关键字越聚焦)_x000D_
引入版本：低码平台-ATOM2-20251128(202501.05.000)_x000D_
引入需求：#202511203319 【缺陷:HCREATORV2-4991】【性能测试】【必现】测试模型数据320M，快速打开20个数据表时，打开到13个就出现左侧灰屏，操作不了_x000D_
问题现象：使用1.25.1301版本设计器时中文存成了乱码，显示会有异常。该问题在20260313版本中已经修改解决。参考链接如下：_x000D_
https://dev.hundsun.com/frameV2/pms/storyNew?project_ids=200004550&amp;story_id=8355986_x000D_
是否有对应规格：无_x000D_
问题原因：_x000D_
1.【是否需求缺失引起】(是/否): 否_x000D_
2.【是否有需求但设计缺失】(是/否): 是_x000D_
        需求/设计维度：需求和任务中仅描述了灰屏问题的验证，未涉及到当前缺陷的场景，从方案处没有评估充足影响面。_x000D_
        测试设计维度：仅验证了灰屏问题是否解决，并且该问题是偶现问题，在标准字段较多时容易复现。测试设计时很难从测试角度给到完整的影响面，测试执行时这种场景拿本地工程也很难复现。_x000D_
3.【是否需求和设计有，但测试设计缺失】(是/否):否_x000D_
4.【是否修改影响面评估不足导致测试设计缺失】(是/否): 否_x000D_
5.【是否测试执行不全面引起(时间原因?策略原因?)】(是/否): 否_x000D_
6.【其它原因】(是/否):否</t>
  </si>
  <si>
    <t>[改进措施、关键行动项]（可以在方法、资源、时间、流程这些方面展开）_x000D_
测试改进措施（请根据以上根因分析，做对应的改进措施，形成闭环）_x000D_
1. 【需求缺失引起】(是否改进，如何改进？)：否_x000D_
2. 【有需求但设计缺失】(是否改进，如何改进？)：是。改进措施：_x000D_
① 现在通过AI生成方案或代码时能对设计中的不足与冲突部分进行提示，这方面可以查漏补缺；_x000D_
② 验证性能、兼容性等问题时也可以拿客户工程进行回归，起码能保证客户主流程通过无异常。_x000D_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</si>
  <si>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工银瑞信需要修复漏洞_x000D_
Apache MINA反序列化漏洞(CVE-2026-41409)_x000D_
发现存在【Apache MINA反序列化漏洞(CVE-2026-41409)】漏洞，CVEID：【["CVE-2026-41409"]】。漏洞描述：Apache MINA 的 AbstractIoBuffer.getObject() 方法中对漏洞 CVE-2024-52046 的修复不完整。类名白名单（用于控制允许反序列化的类）的应用时机过晚——在读取类时，其静态初始化块（static initializer）可能已提前执行。_x000D_
影响版本：_x000D_
"Apache MINA 2.0.0 至 2.0.27_x000D_
Apache MINA 2.1.0 至 2.1.10_x000D_
Apache MINA 2.2.0 至 2.2.5"_x000D_
修复建议：_x000D_
"该问题已在以下版本中通过提前应用类名白名单机制解决：_x000D_
Apache MINA 2.0.28_x000D_
Apache MINA 2.1.11_x000D_
Apache MINA 2.2.6"_x000D_
Apache MINA 的具体路径：_x000D_
mina-core-2.2.1.jarWeb 服务自带库否2.2.1/app/hdp/see/workspace/server/bin/../lib/mina-core-2.2.1.jarmina-core-2.2.1.jar其他依赖库否2.2.1/app/hdp/see/workspace/server/lib/mina-core-2.2.1.jar_x000D_
工银瑞信现场的see是宝兰德9.5.5版本，外接gaussdb数据库</t>
  </si>
  <si>
    <t>类型变更_x000D_
【原需求背景】_x000D_
需求背景
客户名称：工银瑞信_x000D_
项目名称：【工银瑞信新一代数据中心二期项目】_x000D_
【初步方案】：_x000D_
 升级 mina-core 到 2.2.7_x000D_
【影响分析】_x000D_
【对内影响】：攻击者可能通过构造恶意序列化数据，利用 AbstractIoBuffer.getObject() 的反序列化漏洞，在类名白名单校验之前触发恶意类的静态初始化块，执行任意代码_x000D_
【对外影响】：修复安全漏洞_x000D_
【功能设计】_x000D_
【接口设计】：不涉及_x000D_
【功能逻辑设计】：不涉及_x000D_
【异常处理】：不涉及_x000D_
【非功能设计】_x000D_
【性能】：不涉及_x000D_
【兼容性】：不涉及_x000D_
【其他（安全、可靠性、可维护性）】：修复安全漏洞_x000D_
【约束条件】：无_x000D_
【测试点描述】（切记，不是设计用例。是给测试提供输入）_x000D_
【测试点-功能测试】：_x000D_
本次修复为 第三方依赖版本升级（mina-core 2.2.4 → 2.2.7），不涉及业务功能代码修改。测试重点为回归验证，确保升级后原有功能不受影响
功能回归测试：_x000D_
【测试点-错误异常处理】：无_x000D_
【测试点-性能】：无_x000D_
【测试点-兼容性】：无_x000D_
【测试点-其他非功能】：无</t>
  </si>
  <si>
    <t>【直接原因】项目在开发自动化作业（see-jobflow、JobManager）模块时，引入了 Apache MINA（mina-core）作为网络通信框架依赖，用于实现 T2 协议编解码、会话管理等功能。引入时使用的版本为 2.2.4，该版本处于 CVE-2026-41409 漏洞影响范围（2.2.0~2.2.5）内。漏洞本质是 Apache MINA 的 AbstractIoBuffer.getObject() 方法中对 CVE-2024-52046 的修复不完整，类名白名单的应用时机过晚，导致在读取类时其静态初始化块可能提前执行，即使该类最终被白名单拒绝，其静态代码也已运行，可能触发恶意行为。_x000D_
【根本原因】_x000D_
  主观原因：_x000D_
在引入第三方依赖时，未对依赖组件进行安全漏洞评估和版本合规性检查_x000D_
未建立第三方组件安全版本的持续跟踪机制，对已发布的 CVE 漏洞和修复版本缺乏及时感知_x000D_
  客观原因：_x000D_
Apache MINA 作为成熟的开源网络框架，其安全漏洞属于上游组件问题，非项目代码自身缺陷_x000D_
CVE-2026-41409 是对 CVE-2024-52046 修复不完整的后续漏洞，属于补丁迭代中的遗漏，较难在第一时间发现_x000D_
经源码检索，未发现直接调用 IoBuffer.getObject() 方法。项目代码中虽未直接调用 IoBuffer.getObject() 方法，但依赖库本身存在漏洞入口，仍需从合规角度修复_x000D_
【问题影响】_x000D_
安全影响：攻击者可能通过构造恶意序列化数据，利用 AbstractIoBuffer.getObject() 的反序列化漏洞，在类名白名单校验之前触发恶意类的静态初始化块，执行任意代码_x000D_
合规影响：工银瑞信客户安全扫描已检出该漏洞，标记为阻断性缺陷，要求必须在 2026-06-30 前完成修复_x000D_
业务影响：若不及时修复，可能导致客户现场安全评估不通过，影响产品交付和上线</t>
  </si>
  <si>
    <t>【修改方案】：_x000D_
升级 Apache MINA 到官方修复版本_x000D_
把： 2.2.4升级到：2.2.6 或以上。项目里要改的地方：_x000D_
1）修改 see1/JobManager_x000D_
文件：_x000D_
- see1/JobManager/pom.xml:20_x000D_
当前：_x000D_
- &lt;mina-core.version&gt;2.2.4&lt;/mina-core.version&gt;_x000D_
建议改为：_x000D_
- &lt;mina-core.version&gt;2.2.6&lt;/mina-core.version&gt;_x000D_
因为这个模块实际引用的是：_x000D_
- see1/JobManager/pom.xml:733-736_x000D_
---_x000D_
2）修改 see-jobflow_x000D_
文件：_x000D_
- see-jobflow/pom.xml:645_x000D_
当前：_x000D_
- &lt;version&gt;2.2.4&lt;/version&gt;_x000D_
建议改为：_x000D_
- &lt;version&gt;2.2.6&lt;/version&gt;_x000D_
【改进措施】：_x000D_
1.建立第三方依赖安全版本定期审查机制，每季度对项目所有第三方依赖进行 CVE 漏洞扫描，完成时间2026-06-30，输出季度依赖安全审查报告，覆盖所有 pom.xml 中的依赖_x000D_
2.制定第三方依赖引入规范，新增依赖必须进行安全评估，记录评估结果和选定版本的理由，完成时间2026-06-30，产出《第三方依赖引入规范》文档，新依赖引入流程中包含安全评估环节_x000D_
3.对当前项目中所有第三方依赖进行全面安全排查，识别其他潜在漏洞，完成时间2026-06-15，</t>
  </si>
  <si>
    <t>【背景说明】：客户扫描发现Apache MINA反序列化漏洞(CVE-2026-41409)，该漏洞公开日期为2026/4/27，公司杰蛙xray漏洞库已收录，可检出。客户现场版本发布日期2024-09-06。_x000D_
【根因分析】：_x000D_
1. 【是否需求缺失引起】：否_x000D_
2. 【是否有需求但设计缺失】：否_x000D_
3. 【是否需求和设计有，但测试设计缺失】：否_x000D_
4. 【是否修改影响面评估不足导致测试设计缺失】：否_x000D_
5. 【是否测试执行不全面引起（时间原因？策略原因？）】：否_x000D_
6. 【其它原因】：是，该漏洞为三方组件日常新增漏洞，属于正常情况。</t>
  </si>
  <si>
    <t>【需求提出部门/人】_x000D_
【涉及系统】_x000D_
【需求背景】_x000D_
【需求描述】注:现有功能提供菜单和截图_x000D_
searchSpec字段太小，导致大量数据in的时候会报错，建议改成长文本</t>
  </si>
  <si>
    <t>背景分析：_x000D_
【引入问题的需求OR缺陷】：#202507303448 【特性需求】语言特性：增加searchSpec业务类型，该类型参数默认使用searchSpec的表达式赋值器_x000D_
【问题回顾】：_x000D_
1）业务需求是谁录入的（业务需求是否有问题）：张飞_x000D_
2）方案是谁做的（方案和跨子系统需求拆分是否有问题）：张飞_x000D_
3）效能特性需求谁录入需求的（这个特性下的需求录入是否有问题）：张飞_x000D_
4）开发是谁开发的（编码是否有问题、联调是否有问题）：张飞_x000D_
直接原因：SearchSpec类型默认的长度只有1000，crm有个场景，部门客户列表-批量转移客户：选择列表中的80个客户后跳转到转移页面，会再通过客户ID查询待转移的客户列表，searchSpec:"client_id in {'000000000001','000000000002'......}"，因为每个客户ID有12位，80个拼到一起就超过1000个字符了；导致运行时校验报错_x000D_
根因分析：_x000D_
【LV1】何时引入问题；【特性需求】语言特性：增加searchSpec业务类型，增加了一个SearchSpec类型，但是该类型默认长度只有1000_x000D_
【LV2】为什么出现【LV1】；对于searchSpec来说，正常1000个字符就够了，太长了也维护不了，但是忽略了在设计时确实不需要这么长的数据，比如表达式 field in {列表}；运行时列表表达式展开，就不止1000的长度了_x000D_
【LV3】为什么出现【LV2】；设计遗漏，没有考虑到表达式展开后，SearchSpec的长度可能超过1000_x000D_
【LV4】为什么出现【LV3】_x000D_
【资源(人力/软件/硬件)】：_x000D_
【能力】：对于类型长度的影响面评估不足_x000D_
【态度&amp;意愿】：无_x000D_
【时间】：无_x000D_
【方法】：无_x000D_
【流程/规则】：无_x000D_
【历史资料】：无</t>
  </si>
  <si>
    <t>改进措施：改进措施必须能对应根本原因_x000D_
【资源(人力/软件/硬件)】：_x000D_
【能力】：出方案时，让ai辅助评估影响面，ai评估影响面，上下文足够的情况下，比人更全面_x000D_
【态度&amp;意愿】：无_x000D_
【时间】：无_x000D_
【方法】：无_x000D_
【流程/规则】：无_x000D_
【历史资料】：无</t>
  </si>
  <si>
    <t>【背景说明】:(还原:在什么前提下，谁做了什么事情，导致什么问题，越详细提炼出来的关键字越聚焦)_x000D_
引入版本：低码平台-ATOM2-20250829(202501.02.000)_x000D_
引入需求：#202507303448 【特性需求】语言特性：增加searchSpec业务类型，该类型参数默认使用searchSpec的表达式赋值器_x000D_
问题现象：SearchSpec类型默认的长度只有1000，crm有个场景，部门客户列表-批量转移客户：选择列表中的80个客户后跳转到转移页面，会再通过客户ID查询待转移的客户列表，searchSpec:"client_id in {'000000000001','000000000002'......}"，因为每个客户ID有12位，80个拼到一起就超过1000个字符；导致运行时校验报错：“字段校验不通过：字符串长度校验失败”_x000D_
是否有对应规格：无_x000D_
问题原因：_x000D_
1.【是否需求缺失引起】(是/否): _x000D_
2.【是否有需求但设计缺失】(是/否): 是_x000D_
需求/设计维度： 技术方案设计时SearchSpec默认长度为1000，未充分评估实际业务中可能出现的“大量数据IN查询”的场景，导致字段类型或长度定义无法满足业务要求。_x000D_
测试设计维度： 测试设计时按照设计认为超过最大长度，报检验错误合理的，未考虑实际业务中会存在超过1000的场景_x000D_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</si>
  <si>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需求/设计维度：技术方案设计与评审阶段，核心字段的数据类型、长度等内容需要基于调研业务预期的数据量级来定义_x000D_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</si>
  <si>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升级以后 1.25.1301版本 ，没有函数编辑入口；</t>
  </si>
  <si>
    <t>接口无法调用 ，具体工程已经给到张飞</t>
  </si>
  <si>
    <t>易用性</t>
  </si>
  <si>
    <r>
      <rPr>
        <sz val="11"/>
        <color rgb="FF000000"/>
        <rFont val="Microsoft YaHei"/>
        <family val="2"/>
        <charset val="134"/>
      </rPr>
      <t>背景分析：</t>
    </r>
    <r>
      <rPr>
        <sz val="11"/>
        <color indexed="8"/>
        <rFont val="Calibri"/>
        <family val="2"/>
      </rPr>
      <t xml:space="preserve">
</t>
    </r>
    <r>
      <rPr>
        <sz val="11"/>
        <color rgb="FF000000"/>
        <rFont val="Microsoft YaHei"/>
        <family val="2"/>
        <charset val="134"/>
      </rPr>
      <t>【引入问题的需求</t>
    </r>
    <r>
      <rPr>
        <sz val="11"/>
        <color indexed="8"/>
        <rFont val="Calibri"/>
        <family val="2"/>
      </rPr>
      <t>OR</t>
    </r>
    <r>
      <rPr>
        <sz val="11"/>
        <color rgb="FF000000"/>
        <rFont val="Microsoft YaHei"/>
        <family val="2"/>
        <charset val="134"/>
      </rPr>
      <t>缺陷】：</t>
    </r>
    <r>
      <rPr>
        <sz val="11"/>
        <color indexed="8"/>
        <rFont val="Calibri"/>
        <family val="2"/>
      </rPr>
      <t xml:space="preserve">#202311225237 </t>
    </r>
    <r>
      <rPr>
        <sz val="11"/>
        <color rgb="FF000000"/>
        <rFont val="Microsoft YaHei"/>
        <family val="2"/>
        <charset val="134"/>
      </rPr>
      <t>【易用性专项】【</t>
    </r>
    <r>
      <rPr>
        <sz val="11"/>
        <color indexed="8"/>
        <rFont val="Calibri"/>
        <family val="2"/>
      </rPr>
      <t>CR210-SR14-SR12</t>
    </r>
    <r>
      <rPr>
        <sz val="11"/>
        <color rgb="FF000000"/>
        <rFont val="Microsoft YaHei"/>
        <family val="2"/>
        <charset val="134"/>
      </rPr>
      <t>】【</t>
    </r>
    <r>
      <rPr>
        <sz val="11"/>
        <color indexed="8"/>
        <rFont val="Calibri"/>
        <family val="2"/>
      </rPr>
      <t>2023-RP4-</t>
    </r>
    <r>
      <rPr>
        <sz val="11"/>
        <color rgb="FF000000"/>
        <rFont val="Microsoft YaHei"/>
        <family val="2"/>
        <charset val="134"/>
      </rPr>
      <t>软件需求】表单组件支持批量设置表单字段；表单项支持向后批量添加字段</t>
    </r>
    <r>
      <rPr>
        <sz val="11"/>
        <color indexed="8"/>
        <rFont val="Calibri"/>
        <family val="2"/>
      </rPr>
      <t xml:space="preserve">
</t>
    </r>
    <r>
      <rPr>
        <sz val="11"/>
        <color rgb="FF000000"/>
        <rFont val="Microsoft YaHei"/>
        <family val="2"/>
        <charset val="134"/>
      </rPr>
      <t>【问题回顾】：</t>
    </r>
    <r>
      <rPr>
        <sz val="11"/>
        <color indexed="8"/>
        <rFont val="Calibri"/>
        <family val="2"/>
      </rPr>
      <t xml:space="preserve">
1</t>
    </r>
    <r>
      <rPr>
        <sz val="11"/>
        <color rgb="FF000000"/>
        <rFont val="Microsoft YaHei"/>
        <family val="2"/>
        <charset val="134"/>
      </rPr>
      <t>）业务需求是谁录入的（业务需求是否有问题）：张苏</t>
    </r>
    <r>
      <rPr>
        <sz val="11"/>
        <color indexed="8"/>
        <rFont val="Calibri"/>
        <family val="2"/>
      </rPr>
      <t xml:space="preserve">
2</t>
    </r>
    <r>
      <rPr>
        <sz val="11"/>
        <color rgb="FF000000"/>
        <rFont val="Microsoft YaHei"/>
        <family val="2"/>
        <charset val="134"/>
      </rPr>
      <t>）方案是谁做的（方案和跨子系统需求拆分是否有问题）：王英俊</t>
    </r>
    <r>
      <rPr>
        <sz val="11"/>
        <color indexed="8"/>
        <rFont val="Calibri"/>
        <family val="2"/>
      </rPr>
      <t xml:space="preserve">
3</t>
    </r>
    <r>
      <rPr>
        <sz val="11"/>
        <color rgb="FF000000"/>
        <rFont val="Microsoft YaHei"/>
        <family val="2"/>
        <charset val="134"/>
      </rPr>
      <t>）效能特性需求谁录入需求的（这个特性下的需求录入是否有问题）：张苏</t>
    </r>
    <r>
      <rPr>
        <sz val="11"/>
        <color indexed="8"/>
        <rFont val="Calibri"/>
        <family val="2"/>
      </rPr>
      <t xml:space="preserve">
4</t>
    </r>
    <r>
      <rPr>
        <sz val="11"/>
        <color rgb="FF000000"/>
        <rFont val="Microsoft YaHei"/>
        <family val="2"/>
        <charset val="134"/>
      </rPr>
      <t>）开发是谁开发的（编码是否有问题、联调是否有问题）：顾晨捷</t>
    </r>
    <r>
      <rPr>
        <sz val="11"/>
        <color indexed="8"/>
        <rFont val="Calibri"/>
        <family val="2"/>
      </rPr>
      <t xml:space="preserve">
</t>
    </r>
    <r>
      <rPr>
        <sz val="11"/>
        <color rgb="FF000000"/>
        <rFont val="Microsoft YaHei"/>
        <family val="2"/>
        <charset val="134"/>
      </rPr>
      <t>直接原因：</t>
    </r>
    <r>
      <rPr>
        <sz val="11"/>
        <color indexed="8"/>
        <rFont val="Calibri"/>
        <family val="2"/>
      </rPr>
      <t xml:space="preserve">
</t>
    </r>
    <r>
      <rPr>
        <sz val="11"/>
        <color rgb="FF000000"/>
        <rFont val="Microsoft YaHei"/>
        <family val="2"/>
        <charset val="134"/>
      </rPr>
      <t>历史生成器生成了</t>
    </r>
    <r>
      <rPr>
        <sz val="11"/>
        <color indexed="8"/>
        <rFont val="Calibri"/>
        <family val="2"/>
      </rPr>
      <t>{type:"JSFunction",value:"function(){....}"}</t>
    </r>
    <r>
      <rPr>
        <sz val="11"/>
        <color rgb="FF000000"/>
        <rFont val="Microsoft YaHei"/>
        <family val="2"/>
        <charset val="134"/>
      </rPr>
      <t>给</t>
    </r>
    <r>
      <rPr>
        <sz val="11"/>
        <color indexed="8"/>
        <rFont val="Calibri"/>
        <family val="2"/>
      </rPr>
      <t>FunctionSetter</t>
    </r>
    <r>
      <rPr>
        <sz val="11"/>
        <color rgb="FF000000"/>
        <rFont val="Microsoft YaHei"/>
        <family val="2"/>
        <charset val="134"/>
      </rPr>
      <t>，展现形式为：</t>
    </r>
    <r>
      <rPr>
        <sz val="11"/>
        <color indexed="8"/>
        <rFont val="Calibri"/>
        <family val="2"/>
      </rPr>
      <t xml:space="preserve">
</t>
    </r>
    <r>
      <rPr>
        <sz val="11"/>
        <color rgb="FF000000"/>
        <rFont val="Microsoft YaHei"/>
        <family val="2"/>
        <charset val="134"/>
      </rPr>
      <t>（</t>
    </r>
    <r>
      <rPr>
        <sz val="11"/>
        <color indexed="8"/>
        <rFont val="Calibri"/>
        <family val="2"/>
      </rPr>
      <t>FunctionSetter</t>
    </r>
    <r>
      <rPr>
        <sz val="11"/>
        <color rgb="FF000000"/>
        <rFont val="Microsoft YaHei"/>
        <family val="2"/>
        <charset val="134"/>
      </rPr>
      <t>的额外回显形式，额外支持另一种格式数据的回显），这种直接配置</t>
    </r>
    <r>
      <rPr>
        <sz val="11"/>
        <color indexed="8"/>
        <rFont val="Calibri"/>
        <family val="2"/>
      </rPr>
      <t>js</t>
    </r>
    <r>
      <rPr>
        <sz val="11"/>
        <color rgb="FF000000"/>
        <rFont val="Microsoft YaHei"/>
        <family val="2"/>
        <charset val="134"/>
      </rPr>
      <t>的方式是通过手配是配不出来的。拖入组件手动配置展示的是</t>
    </r>
    <r>
      <rPr>
        <sz val="11"/>
        <color indexed="8"/>
        <rFont val="Calibri"/>
        <family val="2"/>
      </rPr>
      <t>FunctionSetter</t>
    </r>
    <r>
      <rPr>
        <sz val="11"/>
        <color rgb="FF000000"/>
        <rFont val="Microsoft YaHei"/>
        <family val="2"/>
        <charset val="134"/>
      </rPr>
      <t>本身的面板。</t>
    </r>
    <r>
      <rPr>
        <sz val="11"/>
        <color indexed="8"/>
        <rFont val="Calibri"/>
        <family val="2"/>
      </rPr>
      <t xml:space="preserve">
</t>
    </r>
    <r>
      <rPr>
        <sz val="11"/>
        <color rgb="FF000000"/>
        <rFont val="Microsoft YaHei"/>
        <family val="2"/>
        <charset val="134"/>
      </rPr>
      <t>根因分析：</t>
    </r>
    <r>
      <rPr>
        <sz val="11"/>
        <color indexed="8"/>
        <rFont val="Calibri"/>
        <family val="2"/>
      </rPr>
      <t xml:space="preserve">
FunctionSetter</t>
    </r>
    <r>
      <rPr>
        <sz val="11"/>
        <color rgb="FF000000"/>
        <rFont val="Microsoft YaHei"/>
        <family val="2"/>
        <charset val="134"/>
      </rPr>
      <t>如果通过旧的生成器生成元数据：</t>
    </r>
    <r>
      <rPr>
        <sz val="11"/>
        <color indexed="8"/>
        <rFont val="Calibri"/>
        <family val="2"/>
      </rPr>
      <t>{type:"JSFunction",value:"function(){....}"} ,</t>
    </r>
    <r>
      <rPr>
        <sz val="11"/>
        <color rgb="FF000000"/>
        <rFont val="Microsoft YaHei"/>
        <family val="2"/>
        <charset val="134"/>
      </rPr>
      <t>会显示编辑函数的按钮，点击后出现</t>
    </r>
    <r>
      <rPr>
        <sz val="11"/>
        <color indexed="8"/>
        <rFont val="Calibri"/>
        <family val="2"/>
      </rPr>
      <t>js</t>
    </r>
    <r>
      <rPr>
        <sz val="11"/>
        <color rgb="FF000000"/>
        <rFont val="Microsoft YaHei"/>
        <family val="2"/>
        <charset val="134"/>
      </rPr>
      <t>编辑器可以直接编辑函数体；如果不通过任何生成器生成元数据，直接拖入组件对属性进行配置，操作路径中则不会出现能够直接编辑函数体的弹框，而是会让用户选择绑定某个全局逻辑或者新增一个局部的可视化逻辑。这个机制从引入</t>
    </r>
    <r>
      <rPr>
        <sz val="11"/>
        <color indexed="8"/>
        <rFont val="Calibri"/>
        <family val="2"/>
      </rPr>
      <t>lowcode engine</t>
    </r>
    <r>
      <rPr>
        <sz val="11"/>
        <color rgb="FF000000"/>
        <rFont val="Microsoft YaHei"/>
        <family val="2"/>
        <charset val="134"/>
      </rPr>
      <t>就一直存在，和版本升级没有关系，不是不兼容问题。之所以不将编辑函数的功能去掉，是为了兼容客户的老数据不变，配置好的数据仍能正常使用。</t>
    </r>
    <r>
      <rPr>
        <sz val="11"/>
        <color indexed="8"/>
        <rFont val="Calibri"/>
        <family val="2"/>
      </rPr>
      <t xml:space="preserve">
</t>
    </r>
    <r>
      <rPr>
        <sz val="11"/>
        <color rgb="FF000000"/>
        <rFont val="Microsoft YaHei"/>
        <family val="2"/>
        <charset val="134"/>
      </rPr>
      <t>【</t>
    </r>
    <r>
      <rPr>
        <sz val="11"/>
        <color indexed="8"/>
        <rFont val="Calibri"/>
        <family val="2"/>
      </rPr>
      <t>LV1</t>
    </r>
    <r>
      <rPr>
        <sz val="11"/>
        <color rgb="FF000000"/>
        <rFont val="Microsoft YaHei"/>
        <family val="2"/>
        <charset val="134"/>
      </rPr>
      <t>】何时引入问题；第一版生成器生成组件元数据的时候，按照</t>
    </r>
    <r>
      <rPr>
        <sz val="11"/>
        <color indexed="8"/>
        <rFont val="Calibri"/>
        <family val="2"/>
      </rPr>
      <t>lowcode engine</t>
    </r>
    <r>
      <rPr>
        <sz val="11"/>
        <color rgb="FF000000"/>
        <rFont val="Microsoft YaHei"/>
        <family val="2"/>
        <charset val="134"/>
      </rPr>
      <t>的协议，生成了</t>
    </r>
    <r>
      <rPr>
        <sz val="11"/>
        <color indexed="8"/>
        <rFont val="Calibri"/>
        <family val="2"/>
      </rPr>
      <t>{type:"JSFunction",value:"function(){....}"}</t>
    </r>
    <r>
      <rPr>
        <sz val="11"/>
        <color rgb="FF000000"/>
        <rFont val="Microsoft YaHei"/>
        <family val="2"/>
        <charset val="134"/>
      </rPr>
      <t>结构的元数据，</t>
    </r>
    <r>
      <rPr>
        <sz val="11"/>
        <color indexed="8"/>
        <rFont val="Calibri"/>
        <family val="2"/>
      </rPr>
      <t>FunctionSetter</t>
    </r>
    <r>
      <rPr>
        <sz val="11"/>
        <color rgb="FF000000"/>
        <rFont val="Microsoft YaHei"/>
        <family val="2"/>
        <charset val="134"/>
      </rPr>
      <t>本身也支持这种元数据的展示。但是通过</t>
    </r>
    <r>
      <rPr>
        <sz val="11"/>
        <color indexed="8"/>
        <rFont val="Calibri"/>
        <family val="2"/>
      </rPr>
      <t>FunctionSetter</t>
    </r>
    <r>
      <rPr>
        <sz val="11"/>
        <color rgb="FF000000"/>
        <rFont val="Microsoft YaHei"/>
        <family val="2"/>
        <charset val="134"/>
      </rPr>
      <t>手配的方式（唯一支持的配置方式），所呈现出来的面板和</t>
    </r>
    <r>
      <rPr>
        <sz val="11"/>
        <color indexed="8"/>
        <rFont val="Calibri"/>
        <family val="2"/>
      </rPr>
      <t xml:space="preserve">{type:"JSFunction",value:"function(){....}"} </t>
    </r>
    <r>
      <rPr>
        <sz val="11"/>
        <color rgb="FF000000"/>
        <rFont val="Microsoft YaHei"/>
        <family val="2"/>
        <charset val="134"/>
      </rPr>
      <t>这个元数据格式展示的面板不一致。设计如此。</t>
    </r>
    <r>
      <rPr>
        <sz val="11"/>
        <color indexed="8"/>
        <rFont val="Calibri"/>
        <family val="2"/>
      </rPr>
      <t xml:space="preserve">
</t>
    </r>
    <r>
      <rPr>
        <sz val="11"/>
        <color rgb="FF000000"/>
        <rFont val="Microsoft YaHei"/>
        <family val="2"/>
        <charset val="134"/>
      </rPr>
      <t>【</t>
    </r>
    <r>
      <rPr>
        <sz val="11"/>
        <color indexed="8"/>
        <rFont val="Calibri"/>
        <family val="2"/>
      </rPr>
      <t>LV2</t>
    </r>
    <r>
      <rPr>
        <sz val="11"/>
        <color rgb="FF000000"/>
        <rFont val="Microsoft YaHei"/>
        <family val="2"/>
        <charset val="134"/>
      </rPr>
      <t>】为什么出现【</t>
    </r>
    <r>
      <rPr>
        <sz val="11"/>
        <color indexed="8"/>
        <rFont val="Calibri"/>
        <family val="2"/>
      </rPr>
      <t>LV1</t>
    </r>
    <r>
      <rPr>
        <sz val="11"/>
        <color rgb="FF000000"/>
        <rFont val="Microsoft YaHei"/>
        <family val="2"/>
        <charset val="134"/>
      </rPr>
      <t>】；</t>
    </r>
    <r>
      <rPr>
        <sz val="11"/>
        <color indexed="8"/>
        <rFont val="Calibri"/>
        <family val="2"/>
      </rPr>
      <t xml:space="preserve">
</t>
    </r>
    <r>
      <rPr>
        <sz val="11"/>
        <color rgb="FF000000"/>
        <rFont val="Microsoft YaHei"/>
        <family val="2"/>
        <charset val="134"/>
      </rPr>
      <t>【</t>
    </r>
    <r>
      <rPr>
        <sz val="11"/>
        <color indexed="8"/>
        <rFont val="Calibri"/>
        <family val="2"/>
      </rPr>
      <t>LV3</t>
    </r>
    <r>
      <rPr>
        <sz val="11"/>
        <color rgb="FF000000"/>
        <rFont val="Microsoft YaHei"/>
        <family val="2"/>
        <charset val="134"/>
      </rPr>
      <t>】为什么出现【</t>
    </r>
    <r>
      <rPr>
        <sz val="11"/>
        <color indexed="8"/>
        <rFont val="Calibri"/>
        <family val="2"/>
      </rPr>
      <t>LV2</t>
    </r>
    <r>
      <rPr>
        <sz val="11"/>
        <color rgb="FF000000"/>
        <rFont val="Microsoft YaHei"/>
        <family val="2"/>
        <charset val="134"/>
      </rPr>
      <t>】；</t>
    </r>
    <r>
      <rPr>
        <sz val="11"/>
        <color indexed="8"/>
        <rFont val="Calibri"/>
        <family val="2"/>
      </rPr>
      <t xml:space="preserve">
</t>
    </r>
    <r>
      <rPr>
        <sz val="11"/>
        <color rgb="FF000000"/>
        <rFont val="Microsoft YaHei"/>
        <family val="2"/>
        <charset val="134"/>
      </rPr>
      <t>【</t>
    </r>
    <r>
      <rPr>
        <sz val="11"/>
        <color indexed="8"/>
        <rFont val="Calibri"/>
        <family val="2"/>
      </rPr>
      <t>LV4</t>
    </r>
    <r>
      <rPr>
        <sz val="11"/>
        <color rgb="FF000000"/>
        <rFont val="Microsoft YaHei"/>
        <family val="2"/>
        <charset val="134"/>
      </rPr>
      <t>】为什么出现【</t>
    </r>
    <r>
      <rPr>
        <sz val="11"/>
        <color indexed="8"/>
        <rFont val="Calibri"/>
        <family val="2"/>
      </rPr>
      <t>LV3</t>
    </r>
    <r>
      <rPr>
        <sz val="11"/>
        <color rgb="FF000000"/>
        <rFont val="Microsoft YaHei"/>
        <family val="2"/>
        <charset val="134"/>
      </rPr>
      <t>】</t>
    </r>
    <r>
      <rPr>
        <sz val="11"/>
        <color indexed="8"/>
        <rFont val="Calibri"/>
        <family val="2"/>
      </rPr>
      <t xml:space="preserve">
</t>
    </r>
    <r>
      <rPr>
        <sz val="11"/>
        <color rgb="FF000000"/>
        <rFont val="Microsoft YaHei"/>
        <family val="2"/>
        <charset val="134"/>
      </rPr>
      <t>【资源</t>
    </r>
    <r>
      <rPr>
        <sz val="11"/>
        <color indexed="8"/>
        <rFont val="Calibri"/>
        <family val="2"/>
      </rPr>
      <t>(</t>
    </r>
    <r>
      <rPr>
        <sz val="11"/>
        <color rgb="FF000000"/>
        <rFont val="Microsoft YaHei"/>
        <family val="2"/>
        <charset val="134"/>
      </rPr>
      <t>人力</t>
    </r>
    <r>
      <rPr>
        <sz val="11"/>
        <color indexed="8"/>
        <rFont val="Calibri"/>
        <family val="2"/>
      </rPr>
      <t>/</t>
    </r>
    <r>
      <rPr>
        <sz val="11"/>
        <color rgb="FF000000"/>
        <rFont val="Microsoft YaHei"/>
        <family val="2"/>
        <charset val="134"/>
      </rPr>
      <t>软件</t>
    </r>
    <r>
      <rPr>
        <sz val="11"/>
        <color indexed="8"/>
        <rFont val="Calibri"/>
        <family val="2"/>
      </rPr>
      <t>/</t>
    </r>
    <r>
      <rPr>
        <sz val="11"/>
        <color rgb="FF000000"/>
        <rFont val="Microsoft YaHei"/>
        <family val="2"/>
        <charset val="134"/>
      </rPr>
      <t>硬件</t>
    </r>
    <r>
      <rPr>
        <sz val="11"/>
        <color indexed="8"/>
        <rFont val="Calibri"/>
        <family val="2"/>
      </rPr>
      <t>)</t>
    </r>
    <r>
      <rPr>
        <sz val="11"/>
        <color rgb="FF000000"/>
        <rFont val="Microsoft YaHei"/>
        <family val="2"/>
        <charset val="134"/>
      </rPr>
      <t>】：</t>
    </r>
    <r>
      <rPr>
        <sz val="11"/>
        <color indexed="8"/>
        <rFont val="Calibri"/>
        <family val="2"/>
      </rPr>
      <t xml:space="preserve">
</t>
    </r>
    <r>
      <rPr>
        <sz val="11"/>
        <color rgb="FF000000"/>
        <rFont val="Microsoft YaHei"/>
        <family val="2"/>
        <charset val="134"/>
      </rPr>
      <t>【能力】：</t>
    </r>
    <r>
      <rPr>
        <sz val="11"/>
        <color indexed="8"/>
        <rFont val="Calibri"/>
        <family val="2"/>
      </rPr>
      <t xml:space="preserve">
</t>
    </r>
    <r>
      <rPr>
        <sz val="11"/>
        <color rgb="FF000000"/>
        <rFont val="Microsoft YaHei"/>
        <family val="2"/>
        <charset val="134"/>
      </rPr>
      <t>【态度</t>
    </r>
    <r>
      <rPr>
        <sz val="11"/>
        <color indexed="8"/>
        <rFont val="Calibri"/>
        <family val="2"/>
      </rPr>
      <t>&amp;</t>
    </r>
    <r>
      <rPr>
        <sz val="11"/>
        <color rgb="FF000000"/>
        <rFont val="Microsoft YaHei"/>
        <family val="2"/>
        <charset val="134"/>
      </rPr>
      <t>意愿】：</t>
    </r>
    <r>
      <rPr>
        <sz val="11"/>
        <color indexed="8"/>
        <rFont val="Calibri"/>
        <family val="2"/>
      </rPr>
      <t xml:space="preserve">
</t>
    </r>
    <r>
      <rPr>
        <sz val="11"/>
        <color rgb="FF000000"/>
        <rFont val="Microsoft YaHei"/>
        <family val="2"/>
        <charset val="134"/>
      </rPr>
      <t>【时间】：</t>
    </r>
    <r>
      <rPr>
        <sz val="11"/>
        <color indexed="8"/>
        <rFont val="Calibri"/>
        <family val="2"/>
      </rPr>
      <t xml:space="preserve">
</t>
    </r>
    <r>
      <rPr>
        <sz val="11"/>
        <color rgb="FF000000"/>
        <rFont val="Microsoft YaHei"/>
        <family val="2"/>
        <charset val="134"/>
      </rPr>
      <t>【方法】：</t>
    </r>
    <r>
      <rPr>
        <sz val="11"/>
        <color indexed="8"/>
        <rFont val="Calibri"/>
        <family val="2"/>
      </rPr>
      <t xml:space="preserve">
</t>
    </r>
    <r>
      <rPr>
        <sz val="11"/>
        <color rgb="FF000000"/>
        <rFont val="Microsoft YaHei"/>
        <family val="2"/>
        <charset val="134"/>
      </rPr>
      <t>【流程</t>
    </r>
    <r>
      <rPr>
        <sz val="11"/>
        <color indexed="8"/>
        <rFont val="Calibri"/>
        <family val="2"/>
      </rPr>
      <t>/</t>
    </r>
    <r>
      <rPr>
        <sz val="11"/>
        <color rgb="FF000000"/>
        <rFont val="Microsoft YaHei"/>
        <family val="2"/>
        <charset val="134"/>
      </rPr>
      <t>规则】：</t>
    </r>
    <r>
      <rPr>
        <sz val="11"/>
        <color indexed="8"/>
        <rFont val="Calibri"/>
        <family val="2"/>
      </rPr>
      <t xml:space="preserve">
</t>
    </r>
    <r>
      <rPr>
        <sz val="11"/>
        <color rgb="FF000000"/>
        <rFont val="Microsoft YaHei"/>
        <family val="2"/>
        <charset val="134"/>
      </rPr>
      <t>【历史资料】：</t>
    </r>
    <phoneticPr fontId="13" type="noConversion"/>
  </si>
  <si>
    <t>改进措施：_x000D_
【资源(人力/软件/硬件)】：_x000D_
【能力】：_x000D_
【态度&amp;意愿】：_x000D_
【时间】：_x000D_
【方法】：_x000D_
【流程/规则】：_x000D_
【历史资料】：无</t>
  </si>
  <si>
    <t>【背景说明】:(还原:在什么前提下，谁做了什么事情，导致什么问题，越详细提炼出来的关键字越聚焦)_x000D_
引入版本：低码平台-ATOM2-20231220(202303.01.000)_x000D_
引入需求：#202311225237 【易用性专项】【CR210-SR14-SR12】【2023-RP4-软件需求】表单组件支持批量设置表单字段；表单项支持向后批量添加字段_x000D_
问题现象：客户认为配置FunctionSetter时，从JS代码编辑面板变成后后面的绑定页面方法的形式，存在理解成本和培训成本_x000D_
是否有对应规格：无_x000D_
问题原因：_x000D_
1.【是否需求缺失引起】(是/否): _x000D_
2.【是否有需求但设计缺失】(是/否): 否_x000D_
        需求/设计维度：_x000D_
        测试设计维度：_x000D_
3.【是否需求和设计有，但测试设计缺失】(是/否):_x000D_
4.【是否修改影响面评估不足导致测试设计缺失】(是/否): _x000D_
5.【是否测试执行不全面引起(时间原因?策略原因?)】(是/否): _x000D_
6.【其它原因】(是/否)::是_x000D_
不是缺陷：低码手动拖动组件进行FunctionSetter设置从未支持过配置js面板的方式。目前业务方的js面板都是通过历史的第一版生成器生成组件元数据配置出来的(那时候还没有逻辑可视化)，后续的生成器也已优化了该配置改成通过逻辑可视化方法的方式，用户之所以还能看到该面板只是因为存量数据的兼容策略。</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</si>
  <si>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【其它原因】(是否改进，如何改进？)：是_x000D_
不是缺陷</t>
  </si>
  <si>
    <t>调用函数：hddmlInvokeProps(data, action){\n return this.$invoke({\n removeResWrapper:true,\n action: action ? action : '',\n request: data,\n })\n }"_x000D_
返回结果是_x000D_
{_x000D_
"data": [_x000D_
{_x000D_
"returnCode": -1,_x000D_
"errorNo": 9999,_x000D_
"total": 0,_x000D_
"errorInfo": " Unrecognized field removeResWrapper (class com.hundsun.atom2.provider.genericinvoke.spring.params.request.GenericInvokeRequest) not marked as ignorable; nested exception is com.fasterxml.jackson.databind.exc.UnrecognizedPropertyException Unrecognized field removeResWrapper (class com.hundsun.atom2.provider.genericinvoke.spring.params.request.GenericInvokeRequest) not marked as ignorable (6 known properties operatorCode action locale userToken context request ]) at [Source (PushbackInputStream); line 1 column 25] (through reference chain com.hundsun.atom2.provider.genericinvoke.spring.params.request.GenericInvokeRequest[ removeResWrapper ])",_x000D_
"rows": [],_x000D_
"totalCount": 0_x000D_
}_x000D_
]_x000D_
}</t>
  </si>
  <si>
    <t>背景分析：_x000D_
【引入问题的需求OR缺陷】：#202602114211 【低版本兼容】业务要求Jackson版本支持在2.14.0上跑，需要回退之前因解决2.15.0版本字符串限制问题的代码_x000D_
【问题回顾】：_x000D_
1）业务需求是谁录入的（业务需求是否有问题）：曾烨_x000D_
2）方案是谁做的（方案和跨子系统需求拆分是否有问题）：曾烨_x000D_
3）效能特性需求谁录入需求的（这个特性下的需求录入是否有问题）：曾烨_x000D_
4）开发是谁开发的（编码是否有问题、联调是否有问题）：曾烨_x000D_
直接原因：_x000D_
有三个分支：_x000D_
1. 当Jackson版本大于等于2.15， 未配置请求报文允许长度的时候返回默认的ObjectMapper对象，默认ObjectMapper对象会强制要求接口字段匹配，而平铺时接口时报文会多出一些字段，导致平铺接口会失败，这个问题之前已经修复；（#202603194251 升级1.25.1301.0版本，bobcbs接口请求全部报错）_x000D_
2. 当jackson版本大于等于2.15，配置了请求报文允许长度，没问题_x000D_
3. 当jackson版本小于2.15， 返回默认的ObjectMapper对象，默认ObjectMapper对象会强制要求接口字段匹配，这个分支在之前修复第一个问题的时候，漏掉了_x000D_
根因分析：_x000D_
【LV1】何时引入问题；2月份为解决2.15.0版本可以跑2.14.0版本Jackson时的处理方案设置为配置项为空或类找不到直接使用原本的代码new ObjectMapper();_x000D_
【LV2】为什么出现【LV1】；修改的代码是全局mvc消息处理器，之前用于出参转换，直接使用默认对象没有问题；但是入参使用默认对象会出现字段强校验的问题_x000D_
【LV3】为什么出现【LV2】；默认对象和mvc默认Jackson配置参数不一致的问题未识别到，自测时只测了通用适配器入口是正常的，因为通用适配器原本就强校验了入参结构。但是未覆盖http场景平铺接口导致遗漏。然后修复缺陷202603194251问题的时候，忘记修改另一个分支_x000D_
【LV4】为什么出现【LV3】修改上个缺陷的时候，只关注了一个分支，另一个分支漏掉了，而且没有集成工程，覆盖这种情况_x000D_
【资源(人力/软件/硬件)】：_x000D_
【能力】：未识别到该改动导致和mvc原生不一致问题，对底层原理不够熟悉_x000D_
【态度&amp;意愿】：_x000D_
【时间】：_x000D_
【方法】：应使用ai来识别是不是有漏掉的情况_x000D_
【流程/规则】：_x000D_
【历史资料】：</t>
  </si>
  <si>
    <t>改进措施：改进措施必须能对应根本原因
【资源(人力/软件/硬件)】：
【能力】：学习ObjectMapper直接创建和通过工厂创建的区别，清晰各使用场景
【态度&amp;意愿】：
【时间】：
【方法】：使用ai分析缺陷以及修复方法看是否有遗漏情况
【流程/规则】：
【历史资料】：</t>
  </si>
  <si>
    <t>【背景说明】:(还原:在什么前提下，谁做了什么事情，导致什么问题，越详细提炼出来的关键字越聚焦)_x000D_
引入版本：低码平台-ATOM2-20260213(202502.00.001)_x000D_
引入需求：#202602114211 【低版本兼容】业务要求Jackson版本支持在2.14.0上跑，需要回退之前因解决2.15.0版本字符串限制问题的代码_x000D_
问题现象：Jackson版本依赖2.14.0，请求包体存在与 context,request同级的额外字段时，请求报错_x000D_
是否有对应规格：无_x000D_
问题原因：_x000D_
1.【是否需求缺失引起】(是/否): _x000D_
2.【是否有需求但设计缺失】(是/否): 是
需求/设计维度： 技术方案设计考虑不周全。在进行依赖版本降级（回退代码）时，未充分评估Jackson 2.14.0与更高版本在“反序列化策略”上的差异（特别是针对未知/额外字段的处理机制）_x000D_
测试设计维度： 回归测试范围定义不足。测试设计仅聚焦于验证“版本回退后基础功能是否正常”，忽略了不同版本底层库对异常数据（如多余字段）的容错能力差异，缺失了针对请求包体存在与 context,request同级额外字段的测试场景。_x000D_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</si>
  <si>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【有需求但设计缺失】(是否改进，如何改进？)：是_x000D_
需求/设计： 在后续涉及核心框架或第三方库（如Jackson、Spring等）的版本升级、降级或回退时，在设计阶段需明确修改影响的分支（开发工具支持扫描业务域代码使用非开放指令的清单）_x000D_
测试设计：1）补充请求包体存在与 context,request同级额外字段的用例和场景  已完成_x000D_
                 2）根据工具扫描出的清单补充对应场景和用例_x000D_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</si>
  <si>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【需求提出部门/人】_x000D_
【涉及系统】_x000D_
【需求背景】_x000D_
【需求描述】注:现有功能提供菜单和截图_x000D_
searchSpec工具处理逗号时有问题，需处理</t>
  </si>
  <si>
    <r>
      <rPr>
        <sz val="11"/>
        <color rgb="FF000000"/>
        <rFont val="Microsoft YaHei"/>
        <family val="2"/>
        <charset val="134"/>
      </rPr>
      <t>背景分析：</t>
    </r>
    <r>
      <rPr>
        <sz val="11"/>
        <color indexed="8"/>
        <rFont val="Calibri"/>
        <family val="2"/>
      </rPr>
      <t xml:space="preserve">
</t>
    </r>
    <r>
      <rPr>
        <sz val="11"/>
        <color rgb="FF000000"/>
        <rFont val="Microsoft YaHei"/>
        <family val="2"/>
        <charset val="134"/>
      </rPr>
      <t>【引入问题的需求</t>
    </r>
    <r>
      <rPr>
        <sz val="11"/>
        <color indexed="8"/>
        <rFont val="Calibri"/>
        <family val="2"/>
      </rPr>
      <t>OR</t>
    </r>
    <r>
      <rPr>
        <sz val="11"/>
        <color rgb="FF000000"/>
        <rFont val="Microsoft YaHei"/>
        <family val="2"/>
        <charset val="134"/>
      </rPr>
      <t>缺陷】：</t>
    </r>
    <r>
      <rPr>
        <sz val="11"/>
        <color indexed="8"/>
        <rFont val="Calibri"/>
        <family val="2"/>
      </rPr>
      <t xml:space="preserve">#202408073250 </t>
    </r>
    <r>
      <rPr>
        <sz val="11"/>
        <color rgb="FF000000"/>
        <rFont val="Microsoft YaHei"/>
        <family val="2"/>
        <charset val="134"/>
      </rPr>
      <t>【财富】列表子表字段的查询和输出，只支持了后端，前端未支持【</t>
    </r>
    <r>
      <rPr>
        <sz val="11"/>
        <color indexed="8"/>
        <rFont val="Calibri"/>
        <family val="2"/>
      </rPr>
      <t>1.10</t>
    </r>
    <r>
      <rPr>
        <sz val="11"/>
        <color rgb="FF000000"/>
        <rFont val="Microsoft YaHei"/>
        <family val="2"/>
        <charset val="134"/>
      </rPr>
      <t>补丁支持】</t>
    </r>
    <r>
      <rPr>
        <sz val="11"/>
        <color indexed="8"/>
        <rFont val="Calibri"/>
        <family val="2"/>
      </rPr>
      <t xml:space="preserve">
</t>
    </r>
    <r>
      <rPr>
        <sz val="11"/>
        <color rgb="FF000000"/>
        <rFont val="Microsoft YaHei"/>
        <family val="2"/>
        <charset val="134"/>
      </rPr>
      <t>【问题回顾】：</t>
    </r>
    <r>
      <rPr>
        <sz val="11"/>
        <color indexed="8"/>
        <rFont val="Calibri"/>
        <family val="2"/>
      </rPr>
      <t xml:space="preserve">
1</t>
    </r>
    <r>
      <rPr>
        <sz val="11"/>
        <color rgb="FF000000"/>
        <rFont val="Microsoft YaHei"/>
        <family val="2"/>
        <charset val="134"/>
      </rPr>
      <t>）业务需求是谁录入的（业务需求是否有问题）：胡杰</t>
    </r>
    <r>
      <rPr>
        <sz val="11"/>
        <color indexed="8"/>
        <rFont val="Calibri"/>
        <family val="2"/>
      </rPr>
      <t xml:space="preserve">
2</t>
    </r>
    <r>
      <rPr>
        <sz val="11"/>
        <color rgb="FF000000"/>
        <rFont val="Microsoft YaHei"/>
        <family val="2"/>
        <charset val="134"/>
      </rPr>
      <t>）方案是谁做的（方案和跨子系统需求拆分是否有问题）：王英俊</t>
    </r>
    <r>
      <rPr>
        <sz val="11"/>
        <color indexed="8"/>
        <rFont val="Calibri"/>
        <family val="2"/>
      </rPr>
      <t xml:space="preserve">
3</t>
    </r>
    <r>
      <rPr>
        <sz val="11"/>
        <color rgb="FF000000"/>
        <rFont val="Microsoft YaHei"/>
        <family val="2"/>
        <charset val="134"/>
      </rPr>
      <t>）效能特性需求谁录入需求的（这个特性下的需求录入是否有问题）：胡杰</t>
    </r>
    <r>
      <rPr>
        <sz val="11"/>
        <color indexed="8"/>
        <rFont val="Calibri"/>
        <family val="2"/>
      </rPr>
      <t xml:space="preserve">
4</t>
    </r>
    <r>
      <rPr>
        <sz val="11"/>
        <color rgb="FF000000"/>
        <rFont val="Microsoft YaHei"/>
        <family val="2"/>
        <charset val="134"/>
      </rPr>
      <t>）开发是谁开发的（编码是否有问题、联调是否有问题）：王英俊</t>
    </r>
    <r>
      <rPr>
        <sz val="11"/>
        <color indexed="8"/>
        <rFont val="Calibri"/>
        <family val="2"/>
      </rPr>
      <t xml:space="preserve">
</t>
    </r>
    <r>
      <rPr>
        <sz val="11"/>
        <color rgb="FF000000"/>
        <rFont val="Microsoft YaHei"/>
        <family val="2"/>
        <charset val="134"/>
      </rPr>
      <t>直接原因：前端查询表格组件需要支持子</t>
    </r>
    <r>
      <rPr>
        <sz val="11"/>
        <color indexed="8"/>
        <rFont val="Calibri"/>
        <family val="2"/>
      </rPr>
      <t>bc</t>
    </r>
    <r>
      <rPr>
        <sz val="11"/>
        <color rgb="FF000000"/>
        <rFont val="Microsoft YaHei"/>
        <family val="2"/>
        <charset val="134"/>
      </rPr>
      <t>的查询，语法是用逗号分割，会将表达式做切割，查询内容中包含逗号也会被切割导致查询语句中包含逗号导致分割错误</t>
    </r>
    <r>
      <rPr>
        <sz val="11"/>
        <color indexed="8"/>
        <rFont val="Calibri"/>
        <family val="2"/>
      </rPr>
      <t xml:space="preserve">
</t>
    </r>
    <r>
      <rPr>
        <sz val="11"/>
        <color rgb="FF000000"/>
        <rFont val="Microsoft YaHei"/>
        <family val="2"/>
        <charset val="134"/>
      </rPr>
      <t>根因分析：</t>
    </r>
    <r>
      <rPr>
        <sz val="11"/>
        <color indexed="8"/>
        <rFont val="Calibri"/>
        <family val="2"/>
      </rPr>
      <t xml:space="preserve">
</t>
    </r>
    <r>
      <rPr>
        <sz val="11"/>
        <color rgb="FF000000"/>
        <rFont val="Microsoft YaHei"/>
        <family val="2"/>
        <charset val="134"/>
      </rPr>
      <t>【</t>
    </r>
    <r>
      <rPr>
        <sz val="11"/>
        <color indexed="8"/>
        <rFont val="Calibri"/>
        <family val="2"/>
      </rPr>
      <t>LV1</t>
    </r>
    <r>
      <rPr>
        <sz val="11"/>
        <color rgb="FF000000"/>
        <rFont val="Microsoft YaHei"/>
        <family val="2"/>
        <charset val="134"/>
      </rPr>
      <t>】何时引入问题；设计时引入，当时版本没有问题，后续</t>
    </r>
    <r>
      <rPr>
        <sz val="11"/>
        <color indexed="8"/>
        <rFont val="Calibri"/>
        <family val="2"/>
      </rPr>
      <t xml:space="preserve"> searchSpec </t>
    </r>
    <r>
      <rPr>
        <sz val="11"/>
        <color rgb="FF000000"/>
        <rFont val="Microsoft YaHei"/>
        <family val="2"/>
        <charset val="134"/>
      </rPr>
      <t>语法拓展后出现问题，和原有设计存在冲突</t>
    </r>
    <r>
      <rPr>
        <sz val="11"/>
        <color indexed="8"/>
        <rFont val="Calibri"/>
        <family val="2"/>
      </rPr>
      <t xml:space="preserve">
</t>
    </r>
    <r>
      <rPr>
        <sz val="11"/>
        <color rgb="FF000000"/>
        <rFont val="Microsoft YaHei"/>
        <family val="2"/>
        <charset val="134"/>
      </rPr>
      <t>【</t>
    </r>
    <r>
      <rPr>
        <sz val="11"/>
        <color indexed="8"/>
        <rFont val="Calibri"/>
        <family val="2"/>
      </rPr>
      <t>LV2</t>
    </r>
    <r>
      <rPr>
        <sz val="11"/>
        <color rgb="FF000000"/>
        <rFont val="Microsoft YaHei"/>
        <family val="2"/>
        <charset val="134"/>
      </rPr>
      <t>】为什么出现【</t>
    </r>
    <r>
      <rPr>
        <sz val="11"/>
        <color indexed="8"/>
        <rFont val="Calibri"/>
        <family val="2"/>
      </rPr>
      <t>LV1</t>
    </r>
    <r>
      <rPr>
        <sz val="11"/>
        <color rgb="FF000000"/>
        <rFont val="Microsoft YaHei"/>
        <family val="2"/>
        <charset val="134"/>
      </rPr>
      <t>】；最初设计为组件内部工具解析，设计了一套独立的语法规则，查询的值是通过</t>
    </r>
    <r>
      <rPr>
        <sz val="11"/>
        <color indexed="8"/>
        <rFont val="Calibri"/>
        <family val="2"/>
      </rPr>
      <t xml:space="preserve"> {{value}} </t>
    </r>
    <r>
      <rPr>
        <sz val="11"/>
        <color rgb="FF000000"/>
        <rFont val="Microsoft YaHei"/>
        <family val="2"/>
        <charset val="134"/>
      </rPr>
      <t>来作为查询变量查询不存在值为</t>
    </r>
    <r>
      <rPr>
        <sz val="11"/>
        <color indexed="8"/>
        <rFont val="Calibri"/>
        <family val="2"/>
      </rPr>
      <t xml:space="preserve"> </t>
    </r>
    <r>
      <rPr>
        <sz val="11"/>
        <color rgb="FF000000"/>
        <rFont val="Microsoft YaHei"/>
        <family val="2"/>
        <charset val="134"/>
      </rPr>
      <t>逗号的场景</t>
    </r>
    <r>
      <rPr>
        <sz val="11"/>
        <color indexed="8"/>
        <rFont val="Calibri"/>
        <family val="2"/>
      </rPr>
      <t xml:space="preserve">
</t>
    </r>
    <r>
      <rPr>
        <sz val="11"/>
        <color rgb="FF000000"/>
        <rFont val="Microsoft YaHei"/>
        <family val="2"/>
        <charset val="134"/>
      </rPr>
      <t>【</t>
    </r>
    <r>
      <rPr>
        <sz val="11"/>
        <color indexed="8"/>
        <rFont val="Calibri"/>
        <family val="2"/>
      </rPr>
      <t>LV3</t>
    </r>
    <r>
      <rPr>
        <sz val="11"/>
        <color rgb="FF000000"/>
        <rFont val="Microsoft YaHei"/>
        <family val="2"/>
        <charset val="134"/>
      </rPr>
      <t>】为什么出现【</t>
    </r>
    <r>
      <rPr>
        <sz val="11"/>
        <color indexed="8"/>
        <rFont val="Calibri"/>
        <family val="2"/>
      </rPr>
      <t>LV2</t>
    </r>
    <r>
      <rPr>
        <sz val="11"/>
        <color rgb="FF000000"/>
        <rFont val="Microsoft YaHei"/>
        <family val="2"/>
        <charset val="134"/>
      </rPr>
      <t>】；后续统一了</t>
    </r>
    <r>
      <rPr>
        <sz val="11"/>
        <color indexed="8"/>
        <rFont val="Calibri"/>
        <family val="2"/>
      </rPr>
      <t>searchSpec</t>
    </r>
    <r>
      <rPr>
        <sz val="11"/>
        <color rgb="FF000000"/>
        <rFont val="Microsoft YaHei"/>
        <family val="2"/>
        <charset val="134"/>
      </rPr>
      <t>的语法规则，允许输入常量和表达式，和组件内部语法冲突了</t>
    </r>
    <r>
      <rPr>
        <sz val="11"/>
        <color indexed="8"/>
        <rFont val="Calibri"/>
        <family val="2"/>
      </rPr>
      <t xml:space="preserve">
</t>
    </r>
    <r>
      <rPr>
        <sz val="11"/>
        <color rgb="FF000000"/>
        <rFont val="Microsoft YaHei"/>
        <family val="2"/>
        <charset val="134"/>
      </rPr>
      <t>【</t>
    </r>
    <r>
      <rPr>
        <sz val="11"/>
        <color indexed="8"/>
        <rFont val="Calibri"/>
        <family val="2"/>
      </rPr>
      <t>LV4</t>
    </r>
    <r>
      <rPr>
        <sz val="11"/>
        <color rgb="FF000000"/>
        <rFont val="Microsoft YaHei"/>
        <family val="2"/>
        <charset val="134"/>
      </rPr>
      <t>】为什么出现【</t>
    </r>
    <r>
      <rPr>
        <sz val="11"/>
        <color indexed="8"/>
        <rFont val="Calibri"/>
        <family val="2"/>
      </rPr>
      <t>LV3</t>
    </r>
    <r>
      <rPr>
        <sz val="11"/>
        <color rgb="FF000000"/>
        <rFont val="Microsoft YaHei"/>
        <family val="2"/>
        <charset val="134"/>
      </rPr>
      <t>】未考虑原有语法兼容性问题</t>
    </r>
    <r>
      <rPr>
        <sz val="11"/>
        <color indexed="8"/>
        <rFont val="Calibri"/>
        <family val="2"/>
      </rPr>
      <t xml:space="preserve">
</t>
    </r>
    <r>
      <rPr>
        <sz val="11"/>
        <color rgb="FF000000"/>
        <rFont val="Microsoft YaHei"/>
        <family val="2"/>
        <charset val="134"/>
      </rPr>
      <t>【资源</t>
    </r>
    <r>
      <rPr>
        <sz val="11"/>
        <color indexed="8"/>
        <rFont val="Calibri"/>
        <family val="2"/>
      </rPr>
      <t>(</t>
    </r>
    <r>
      <rPr>
        <sz val="11"/>
        <color rgb="FF000000"/>
        <rFont val="Microsoft YaHei"/>
        <family val="2"/>
        <charset val="134"/>
      </rPr>
      <t>人力</t>
    </r>
    <r>
      <rPr>
        <sz val="11"/>
        <color indexed="8"/>
        <rFont val="Calibri"/>
        <family val="2"/>
      </rPr>
      <t>/</t>
    </r>
    <r>
      <rPr>
        <sz val="11"/>
        <color rgb="FF000000"/>
        <rFont val="Microsoft YaHei"/>
        <family val="2"/>
        <charset val="134"/>
      </rPr>
      <t>软件</t>
    </r>
    <r>
      <rPr>
        <sz val="11"/>
        <color indexed="8"/>
        <rFont val="Calibri"/>
        <family val="2"/>
      </rPr>
      <t>/</t>
    </r>
    <r>
      <rPr>
        <sz val="11"/>
        <color rgb="FF000000"/>
        <rFont val="Microsoft YaHei"/>
        <family val="2"/>
        <charset val="134"/>
      </rPr>
      <t>硬件</t>
    </r>
    <r>
      <rPr>
        <sz val="11"/>
        <color indexed="8"/>
        <rFont val="Calibri"/>
        <family val="2"/>
      </rPr>
      <t>)</t>
    </r>
    <r>
      <rPr>
        <sz val="11"/>
        <color rgb="FF000000"/>
        <rFont val="Microsoft YaHei"/>
        <family val="2"/>
        <charset val="134"/>
      </rPr>
      <t>】：</t>
    </r>
    <r>
      <rPr>
        <sz val="11"/>
        <color indexed="8"/>
        <rFont val="Calibri"/>
        <family val="2"/>
      </rPr>
      <t xml:space="preserve">
</t>
    </r>
    <r>
      <rPr>
        <sz val="11"/>
        <color rgb="FF000000"/>
        <rFont val="Microsoft YaHei"/>
        <family val="2"/>
        <charset val="134"/>
      </rPr>
      <t>【能力】：</t>
    </r>
    <r>
      <rPr>
        <sz val="11"/>
        <color indexed="8"/>
        <rFont val="Calibri"/>
        <family val="2"/>
      </rPr>
      <t xml:space="preserve">
</t>
    </r>
    <r>
      <rPr>
        <sz val="11"/>
        <color rgb="FF000000"/>
        <rFont val="Microsoft YaHei"/>
        <family val="2"/>
        <charset val="134"/>
      </rPr>
      <t>【态度</t>
    </r>
    <r>
      <rPr>
        <sz val="11"/>
        <color indexed="8"/>
        <rFont val="Calibri"/>
        <family val="2"/>
      </rPr>
      <t>&amp;</t>
    </r>
    <r>
      <rPr>
        <sz val="11"/>
        <color rgb="FF000000"/>
        <rFont val="Microsoft YaHei"/>
        <family val="2"/>
        <charset val="134"/>
      </rPr>
      <t>意愿】：</t>
    </r>
    <r>
      <rPr>
        <sz val="11"/>
        <color indexed="8"/>
        <rFont val="Calibri"/>
        <family val="2"/>
      </rPr>
      <t xml:space="preserve">
</t>
    </r>
    <r>
      <rPr>
        <sz val="11"/>
        <color rgb="FF000000"/>
        <rFont val="Microsoft YaHei"/>
        <family val="2"/>
        <charset val="134"/>
      </rPr>
      <t>【时间】：</t>
    </r>
    <r>
      <rPr>
        <sz val="11"/>
        <color indexed="8"/>
        <rFont val="Calibri"/>
        <family val="2"/>
      </rPr>
      <t xml:space="preserve">
</t>
    </r>
    <r>
      <rPr>
        <sz val="11"/>
        <color rgb="FF000000"/>
        <rFont val="Microsoft YaHei"/>
        <family val="2"/>
        <charset val="134"/>
      </rPr>
      <t>【方法】：</t>
    </r>
    <r>
      <rPr>
        <sz val="11"/>
        <color indexed="8"/>
        <rFont val="Calibri"/>
        <family val="2"/>
      </rPr>
      <t xml:space="preserve">
</t>
    </r>
    <r>
      <rPr>
        <sz val="11"/>
        <color rgb="FF000000"/>
        <rFont val="Microsoft YaHei"/>
        <family val="2"/>
        <charset val="134"/>
      </rPr>
      <t>【流程</t>
    </r>
    <r>
      <rPr>
        <sz val="11"/>
        <color indexed="8"/>
        <rFont val="Calibri"/>
        <family val="2"/>
      </rPr>
      <t>/</t>
    </r>
    <r>
      <rPr>
        <sz val="11"/>
        <color rgb="FF000000"/>
        <rFont val="Microsoft YaHei"/>
        <family val="2"/>
        <charset val="134"/>
      </rPr>
      <t>规则】：设计需要保证兼容性</t>
    </r>
    <r>
      <rPr>
        <sz val="11"/>
        <color indexed="8"/>
        <rFont val="Calibri"/>
        <family val="2"/>
      </rPr>
      <t xml:space="preserve">
</t>
    </r>
    <r>
      <rPr>
        <sz val="11"/>
        <color rgb="FF000000"/>
        <rFont val="Microsoft YaHei"/>
        <family val="2"/>
        <charset val="134"/>
      </rPr>
      <t>【历史资料】：</t>
    </r>
    <phoneticPr fontId="13" type="noConversion"/>
  </si>
  <si>
    <t>改进措施：改进措施必须能对应根本原因_x000D_
【资源(人力/软件/硬件)】：_x000D_
【能力】：_x000D_
【态度&amp;意愿】：_x000D_
【时间】：_x000D_
【方法】：_x000D_
【流程/规则】：设计需要保证兼容性_x000D_
【历史资料】：</t>
  </si>
  <si>
    <t>【背景说明】:(还原:在什么前提下，谁做了什么事情，导致什么问题，越详细提炼出来的关键字越聚焦)_x000D_
引入版本：低码平台-ATOM2-20240906(202401.03.000)_x000D_
引入需求：_x000D_
最初需求：#202408073250 【财富】列表子表字段的查询和输出，只支持了后端，前端未支持【1.10补丁支持】_x000D_
后续需求：#202501073659 【特性需求】IDE特性: searchSpec 统一表达式面板_x000D_
问题现象：前端页面列表查询区输入内容包含逗号，逗号作为表格查询组件内部关键字，导致查询语句中包含逗号导致分割错误_x000D_
是否有对应规格：无_x000D_
问题原因：_x000D_
1.【是否需求缺失引起】(是/否): _x000D_
2.【是否有需求但设计缺失】(是/否): 是_x000D_
        需求/设计维度：初始版本设计时引入，当时版本没有问题，后续需求对searchSpec 语法进行拓展后出现问题，和原有设计存在冲突。_x000D_
        测试设计维度：后续版本统一了searchSpec的语法规则，允许输入常量和表达式，和组件内部语法冲突了，未考虑原有语法兼容性问题。_x000D_
3.【是否需求和设计有，但测试设计缺失】(是/否):_x000D_
4.【是否修改影响面评估不足导致测试设计缺失】(是/否): _x000D_
5.【是否测试执行不全面引起(时间原因?策略原因?)】(是/否): _x000D_
6.【其它原因】(是/否)::</t>
  </si>
  <si>
    <t>[改进措施、关键行动项]（可以在方法、资源、时间、流程这些方面展开）_x000D_
测试改进措施（请根据以上根因分析，做对应的改进措施，形成闭环）_x000D_
1. 【需求缺失引起】(是否改进，如何改进？)：_x000D_
2. 【有需求但设计缺失】(是否改进，如何改进？)：后续需求对searchSpec 语法进行拓展时应考虑原有语法的兼容性问题_x000D_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</si>
  <si>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需求目标（需要实现的目标）_x000D_
需求设计/方案_x000D_
【功能描述】_x000D_
客户在使用可靠一致组播、核心监视器过程中，出现了和T3监视器异常类似的场景：配置了错误地址信息后，仍然显示正常_x000D_
【界面参考】_x000D_
需求影响范围（子系统、关联需求范围） _x000D_
********************************************************************************_x000D_
--------------以上为客户原始需求内容，以下为需求分析内容-----------------_x000D_
********************************************************************************_x000D_
【需求背景】：_x000D_
国投现场监视器“LDP-&gt;可靠一致组播”，组播监控url配置错误时，监视器状态仍然显示正常。应答显示异常，并可以点击下钻查看异常原因。需要修复。_x000D_
如下图所示：_x000D_
【需求分析】：_x000D_
【功能需求】：_x000D_
【非功能需求】：_x000D_
    性能需求：_x000D_
    容量需求：_x000D_
    可靠性需求：_x000D_
    故障处理需求：_x000D_
    安全性需求：_x000D_
    可维护性需求：_x000D_
【兼容性分析】：_x000D_
【业务功能树】：</t>
  </si>
  <si>
    <t>类型变更_x000D_
【原需求背景】_x000D_
客户信息_x000D_
【客户/项目名称】_x000D_
版本信息_x000D_
【版本信息】（必填）全部_x000D_
【三方依赖】不涉及_x000D_
需求背景_x000D_
【业务所期待解决的问题】_x000D_
【功能截图】（如有请尽量提供）_x000D_
【(客户)对需求实现/解决方案的预期】</t>
  </si>
  <si>
    <t>问题现象(发生的条件、现象)：_x000D_
条件：配置了错误的地址信息（如无效的IP、端口、无法连接的URL）时_x000D_
现象：可靠一致组播（LdpRCM）、核心监视器（LdpBizProc）、回库监视器（LdpTodb）仍然显示为正常状态，没有报错提示_x000D_
影响：用户无法及时发现配置错误，导致监控失效_x000D_
直接原因:_x000D_
线程池关闭逻辑缺陷：在所有LDP监视器线程中，调用pool.shutdown()后，没有调用pool.awaitTermination()来等待线程真正结束，就立即检查errorData.size()了。_x000D_
导致的问题：_x000D_
当countDownLatch.await(20, TimeUnit.SECONDS)超时后，主线程继续执行_x000D_
但线程池中的任务可能还在执行，还没有来得及将错误URL添加到errorData中_x000D_
主线程立即检查errorData.size() &gt; 0，此时可能还是空的_x000D_
导致监视器返回正常响应_x000D_
根本原因(必填):_x000D_
缺少线程池优雅关闭机制：只调用了pool.shutdown()，但没有调用pool.awaitTermination(10L, TimeUnit.SECONDS)来等待线程真正结束，导致存在竞态条件。_x000D_
根因分类(参考“LDP缺陷复盘分类项参考.xls”里的分类项):_x000D_
并发/线程安全缺陷 - 线程同步问题，竞态条件_x000D_
缺陷引入需求编号：202312014570_x000D_
缺陷代码片段截图：</t>
  </si>
  <si>
    <t>当前缺陷改动方案:所有LDP监视器添加了线程池优雅关闭逻辑_x000D_
代码里是否有同类问题:前置、报盘也有这个问题_x000D_
改进措施(必填):添加了线程池优雅关闭逻辑，建立代码规范：所有使用线程池的地方，都必须正确使用awaitTermination()_x000D_
责任人:王兴云_x000D_
计划完成时间:2026.06.02_x000D_
当前是否已经补充到自动化用例:否</t>
  </si>
  <si>
    <t>【背景说明】：（还原：在什么前提下，谁做了什么事情，导致什么问题，越详细提炼出来的关键字越聚焦）_x000D_
原来的几个LDP监视器（可靠一致组播、前置、核心、回库、报盘）：_x000D_
1、在监控url中配置SEE的后端监控节点可ping通但端口不通的目标地址，如http://10.19.36.34:64534/ldp，监视器可正常返回异常；_x000D_
2、但监控url配置SEE的后端监控节点不能ping通的目标地址，如http://1.1.1.1:20101/ldp，监视器返回正常，但数据全是空（本缺陷的现象）。_x000D_
【根因分析】：_x000D_
1. 【是否需求缺失引起】（是/否）：否_x000D_
2. 【是否有需求但设计缺失】（是/否）：否_x000D_
3. 【是否需求和设计有，但测试设计缺失】（是/否）：是，该监视器初次提供时，未对不能访问的ip进行测试设计，只对服务可用、服务不可用的监控url进行了测试设计_x000D_
4. 【是否修改影响面评估不足导致测试设计缺失】（是/否）：否_x000D_
5. 【是否测试执行不全面引起（时间原因？策略原因？）】（是/否）：是，设计缺失导致遗漏场景测试_x000D_
6. 【其它原因】：</t>
  </si>
  <si>
    <t>[改进措施、关键行动项]（可以在方法、资源、时间、流程这些方面展开）_x000D_
1. 【需求缺失引起】(是否改进，如何改进？)：不涉及_x000D_
2. 【有需求但设计缺失】(是否改进，如何改进？)：不涉及_x000D_
3. 【需求和设计有，但测试设计缺失】(是否改进，如何改进？)：_x000D_
测试分析时充分考虑正常、异常场景，输出覆盖“正常、异常、边界、并发”四个维度的测试分析思维导图，杜绝直接编写用例。实行“自检+TSE评审+产品开发三方评审”三级评审机制，重点关注场景完整性而非流程格式。_x000D_
4. 【修改影响面评估不足导致测试设计缺失】(是否改进，如何改进？)：不涉及_x000D_
5. 【测试执行不全面引起（时间原因？策略原因？）】(是否改进，如何改进？)：不涉及_x000D_
6. 【其它原因】(是否改进，如何改进？)：不涉及</t>
  </si>
  <si>
    <t>【前置条件】:   无 _x000D_
【操作步骤】:   组件安全扫描_x000D_
【预期结果】:   无高危及高危以上的安全漏洞_x000D_
【实际结果】:   发现tomcat、netty、bcprov-jdk15、spring-boot-actuator（申请白名单）组件漏洞_x000D_
研发经理或测试经理确认是研发中心缺陷时，请填写下列内容：_x000D_
【业务产品名称或简称】:_x000D_
【场景说明】:_x000D_
【需求内容】:_x000D_
【当前使用Version】:</t>
  </si>
  <si>
    <t>【根因分析】_x000D_
【直接原因】_x000D_
效能扫描发现三方组件tomcat、netty、bcprov-jdk15、spring-boot-actuator（申请白名单）组件存在安全漏洞。_x000D_
【根本原因】_x000D_
客观原因：_x000D_
已经有日构建扫描及时发现安全漏洞问题，所以不存在客观原因_x000D_
主观原因：_x000D_
安全漏洞扫描按照预期成功发现漏洞，不涉及主观问题_x000D_
【问题影响】_x000D_
推送平台依赖的tomcat、netty、bcprov-jdk15组件 需要升级jres框架和分布式锁组件版本修复_x000D_
【修改方案】_x000D_
升级jres框架3.0.25.9和分布式锁组件2.3.1.7_x000D_
【是否涉及文档修改】_x000D_
否_x000D_
【文档修改内容和链接】_x000D_
无_x000D_
--------------------------改进措施------------------------------------_x000D_
【改进措施】_x000D_
1.日构建每天会扫描三方组件是否存在漏洞，根据报告分析漏洞影响范围，及时修复。_x000D_
【责任人】_x000D_
邵童_x000D_
【完成时间】_x000D_
2024年5月20日_x000D_
【验收标准】_x000D_
通过组件日构建扫描。</t>
  </si>
  <si>
    <t>【根因分析】_x000D_
【直接原因】_x000D_
效能扫描发现三方组件tomcat、netty、bcprov-jdk15、spring-boot-actuator（申请白名单）等组件存在安全漏洞。_x000D_
【根本原因】_x000D_
客观原因：_x000D_
已经有日构建扫描及时发现安全漏洞问题，所以不存在客观原因_x000D_
主观原因：_x000D_
安全漏洞扫描按照预期成功发现漏洞，不涉及主观问题_x000D_
【问题影响】_x000D_
推送平台依赖的tomcat、netty、bcprov-jdk15等组件 需要升级jres框架和分布式锁组件版本修复_x000D_
【修改方案】_x000D_
升级jres框架3.0.25.9和分布式锁组件2.3.1.7_x000D_
【是否涉及文档修改】_x000D_
否_x000D_
【文档修改内容和链接】_x000D_
无</t>
  </si>
  <si>
    <t>日构建每天会扫描三方组件是否存在漏洞，根据报告分析漏洞影响范围，及时修复。</t>
  </si>
  <si>
    <t>【背景说明】：_x000D_
内部物料清单扫描发现推送平台1.0.67.9版本存在多个组件漏洞。涉及组件如下：_x000D_
org.apache.tomcat.embed:tomcat-embed-core:9.0.111org.bouncycastle:bcprov-jdk15on:1.68_x000D_
io.netty:netty-codec-http:4.1.128.Final_x000D_
io.netty:netty-codec-http2:4.1.128.Final_x000D_
org.springframework.boot:spring-boot-actuator:2.7.18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相关组件漏洞日常扫描已经识别，属于三方组件日常新增漏洞。其中org.springframework.boot:spring-boot-actuator已申请白名单。其他组件框架已在4月30日版本进行了修复，推送平台由于需要框架先修复后才能进行升级，目前正在修复周期内。</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</si>
  <si>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</si>
  <si>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支持解析redo异常消息_x000D_
********************************************************************************_x000D_
--------------以上为客户原始需求内容，以下为需求分析内容-----------------_x000D_
********************************************************************************_x000D_
【问题现象】：发布的redo跳包解析工具无法解析导致备机异常的redo数据_x000D_
【问题分析】：redo消息的持久化文件保存在remoter的目录下，且与解析原始数据的消息结构不同，导致无法解析redo消息_x000D_
【问题影响】：redo跳包解析工具无法解析导致备机异常的redo数据_x000D_
【复现场景&amp;复现概率】：必现_x000D_
【影响范围】：无法解析导致备机异常的redo数据_x000D_
【临时解决方案】：无_x000D_
【修改方案】：支持解析导致备机异常的redo数据（包括redo消息头和redo消息体数据）_x000D_
 【是否分支同步】问题修改是否需要同步到主干，方正分支，机构分支 _x000D_
【预计修复时间】：_x000D_
【是否涉及文档修改】：_x000D_
【文档修改内容和链接】：_x000D_
【产品规格更新】：</t>
  </si>
  <si>
    <t>类型变更_x000D_
【原需求背景】_x000D_
【具体业务场景】：redo跳包场景_x000D_
【遇到的问题】：无法解析redo异常消息_x000D_
【当前解决的方案】：_x000D_
【期望交付时间】：_x000D_
【发布分支】：_x000D_
  主干版本_x000D_
  机构版本_x000D_
  竞争力版本_x000D_
  方正版本_x000D_
【外部客户】：[如果此需求来源于外部客户，此处填写外部客户的名称]_x000D_
【(客户)对需求实现/解决方案的预期】</t>
  </si>
  <si>
    <t>测分误解需求或设计</t>
  </si>
  <si>
    <r>
      <rPr>
        <sz val="11"/>
        <color rgb="FF000000"/>
        <rFont val="Microsoft YaHei"/>
        <family val="2"/>
        <charset val="134"/>
      </rPr>
      <t>问题现象</t>
    </r>
    <r>
      <rPr>
        <sz val="11"/>
        <color indexed="8"/>
        <rFont val="Calibri"/>
        <family val="2"/>
      </rPr>
      <t>(</t>
    </r>
    <r>
      <rPr>
        <sz val="11"/>
        <color rgb="FF000000"/>
        <rFont val="Microsoft YaHei"/>
        <family val="2"/>
        <charset val="134"/>
      </rPr>
      <t>发生的条件、现象</t>
    </r>
    <r>
      <rPr>
        <sz val="11"/>
        <color indexed="8"/>
        <rFont val="Calibri"/>
        <family val="2"/>
      </rPr>
      <t>)</t>
    </r>
    <r>
      <rPr>
        <sz val="11"/>
        <color rgb="FF000000"/>
        <rFont val="Microsoft YaHei"/>
        <family val="2"/>
        <charset val="134"/>
      </rPr>
      <t>：开发工具解析</t>
    </r>
    <r>
      <rPr>
        <sz val="11"/>
        <color indexed="8"/>
        <rFont val="Calibri"/>
        <family val="2"/>
      </rPr>
      <t>redo</t>
    </r>
    <r>
      <rPr>
        <sz val="11"/>
        <color rgb="FF000000"/>
        <rFont val="Microsoft YaHei"/>
        <family val="2"/>
        <charset val="134"/>
      </rPr>
      <t>文件时，报错，解析数据不对。</t>
    </r>
    <r>
      <rPr>
        <sz val="11"/>
        <color indexed="8"/>
        <rFont val="Calibri"/>
        <family val="2"/>
      </rPr>
      <t xml:space="preserve">
</t>
    </r>
    <r>
      <rPr>
        <sz val="11"/>
        <color rgb="FF000000"/>
        <rFont val="Microsoft YaHei"/>
        <family val="2"/>
        <charset val="134"/>
      </rPr>
      <t>直接原因</t>
    </r>
    <r>
      <rPr>
        <sz val="11"/>
        <color indexed="8"/>
        <rFont val="Calibri"/>
        <family val="2"/>
      </rPr>
      <t xml:space="preserve">: </t>
    </r>
    <r>
      <rPr>
        <sz val="11"/>
        <color rgb="FF000000"/>
        <rFont val="Microsoft YaHei"/>
        <family val="2"/>
        <charset val="134"/>
      </rPr>
      <t>设计文档时漏掉描述，</t>
    </r>
    <r>
      <rPr>
        <sz val="11"/>
        <color indexed="8"/>
        <rFont val="Calibri"/>
        <family val="2"/>
      </rPr>
      <t>redo</t>
    </r>
    <r>
      <rPr>
        <sz val="11"/>
        <color rgb="FF000000"/>
        <rFont val="Microsoft YaHei"/>
        <family val="2"/>
        <charset val="134"/>
      </rPr>
      <t>文件的结构和</t>
    </r>
    <r>
      <rPr>
        <sz val="11"/>
        <color indexed="8"/>
        <rFont val="Calibri"/>
        <family val="2"/>
      </rPr>
      <t>ldpmsg</t>
    </r>
    <r>
      <rPr>
        <sz val="11"/>
        <color rgb="FF000000"/>
        <rFont val="Microsoft YaHei"/>
        <family val="2"/>
        <charset val="134"/>
      </rPr>
      <t>的差异，解析时要注意差异。</t>
    </r>
    <r>
      <rPr>
        <sz val="11"/>
        <color indexed="8"/>
        <rFont val="Calibri"/>
        <family val="2"/>
      </rPr>
      <t xml:space="preserve">
</t>
    </r>
    <r>
      <rPr>
        <sz val="11"/>
        <color rgb="FF000000"/>
        <rFont val="Microsoft YaHei"/>
        <family val="2"/>
        <charset val="134"/>
      </rPr>
      <t>根本原因</t>
    </r>
    <r>
      <rPr>
        <sz val="11"/>
        <color indexed="8"/>
        <rFont val="Calibri"/>
        <family val="2"/>
      </rPr>
      <t>(</t>
    </r>
    <r>
      <rPr>
        <sz val="11"/>
        <color rgb="FF000000"/>
        <rFont val="Microsoft YaHei"/>
        <family val="2"/>
        <charset val="134"/>
      </rPr>
      <t>必填</t>
    </r>
    <r>
      <rPr>
        <sz val="11"/>
        <color indexed="8"/>
        <rFont val="Calibri"/>
        <family val="2"/>
      </rPr>
      <t xml:space="preserve">): </t>
    </r>
    <r>
      <rPr>
        <sz val="11"/>
        <color rgb="FF000000"/>
        <rFont val="Microsoft YaHei"/>
        <family val="2"/>
        <charset val="134"/>
      </rPr>
      <t>设计遗漏，设计时大的方向确定了，只是个工具复用的问题，都是发送的</t>
    </r>
    <r>
      <rPr>
        <sz val="11"/>
        <color indexed="8"/>
        <rFont val="Calibri"/>
        <family val="2"/>
      </rPr>
      <t>ldp</t>
    </r>
    <r>
      <rPr>
        <sz val="11"/>
        <color rgb="FF000000"/>
        <rFont val="Microsoft YaHei"/>
        <family val="2"/>
        <charset val="134"/>
      </rPr>
      <t>消息，没有考虑到，而且开发测试都没理解需求和设计，都搞错了，非常可惜。实际是很小的一个问题，遗漏给了客户，显示出我们的设计能力不够，开发测试也并没有全身心投入。</t>
    </r>
    <r>
      <rPr>
        <sz val="11"/>
        <color indexed="8"/>
        <rFont val="Calibri"/>
        <family val="2"/>
      </rPr>
      <t xml:space="preserve">
</t>
    </r>
    <r>
      <rPr>
        <sz val="11"/>
        <color rgb="FF000000"/>
        <rFont val="Microsoft YaHei"/>
        <family val="2"/>
        <charset val="134"/>
      </rPr>
      <t>根因分类</t>
    </r>
    <r>
      <rPr>
        <sz val="11"/>
        <color indexed="8"/>
        <rFont val="Calibri"/>
        <family val="2"/>
      </rPr>
      <t>(</t>
    </r>
    <r>
      <rPr>
        <sz val="11"/>
        <color rgb="FF000000"/>
        <rFont val="Microsoft YaHei"/>
        <family val="2"/>
        <charset val="134"/>
      </rPr>
      <t>参考</t>
    </r>
    <r>
      <rPr>
        <sz val="11"/>
        <color indexed="8"/>
        <rFont val="Calibri"/>
        <family val="2"/>
      </rPr>
      <t>“</t>
    </r>
    <r>
      <rPr>
        <sz val="11"/>
        <color rgb="FF000000"/>
        <rFont val="Microsoft YaHei"/>
        <family val="2"/>
        <charset val="134"/>
      </rPr>
      <t>缺陷复盘样板</t>
    </r>
    <r>
      <rPr>
        <sz val="11"/>
        <color indexed="8"/>
        <rFont val="Calibri"/>
        <family val="2"/>
      </rPr>
      <t>.xls”</t>
    </r>
    <r>
      <rPr>
        <sz val="11"/>
        <color rgb="FF000000"/>
        <rFont val="Microsoft YaHei"/>
        <family val="2"/>
        <charset val="134"/>
      </rPr>
      <t>里的分类项</t>
    </r>
    <r>
      <rPr>
        <sz val="11"/>
        <color indexed="8"/>
        <rFont val="Calibri"/>
        <family val="2"/>
      </rPr>
      <t xml:space="preserve">):  </t>
    </r>
    <r>
      <rPr>
        <sz val="11"/>
        <color rgb="FF000000"/>
        <rFont val="Microsoft YaHei"/>
        <family val="2"/>
        <charset val="134"/>
      </rPr>
      <t>设计遗漏缺陷</t>
    </r>
    <r>
      <rPr>
        <sz val="11"/>
        <color indexed="8"/>
        <rFont val="Calibri"/>
        <family val="2"/>
      </rPr>
      <t xml:space="preserve">
</t>
    </r>
    <r>
      <rPr>
        <sz val="11"/>
        <color rgb="FF000000"/>
        <rFont val="Microsoft YaHei"/>
        <family val="2"/>
        <charset val="134"/>
      </rPr>
      <t>缺陷引入需求编号：</t>
    </r>
    <r>
      <rPr>
        <sz val="11"/>
        <color indexed="8"/>
        <rFont val="Calibri"/>
        <family val="2"/>
      </rPr>
      <t xml:space="preserve">202602263668
</t>
    </r>
    <r>
      <rPr>
        <sz val="11"/>
        <color rgb="FF000000"/>
        <rFont val="Microsoft YaHei"/>
        <family val="2"/>
        <charset val="134"/>
      </rPr>
      <t>缺陷代码片段截图：没有开发，而不是代码缺陷。</t>
    </r>
    <phoneticPr fontId="13" type="noConversion"/>
  </si>
  <si>
    <t>当前缺陷改动方案: 在ldpmsgparser 工具里边增加工具_x000D_
代码里是否有同类问题:  无_x000D_
改进措施(必填): 详细设计文档要出码水平，详设设计人和开发尽可能同一个人。_x000D_
责任人: 陈勇_x000D_
计划完成时间: 20260720_x000D_
当前是否已经补充到自动化用例: 无</t>
  </si>
  <si>
    <t>【背景说明】： 客户使用自定义redo产生的redo通过rcm多进程进行主备同步时。在备机执行出现core时产生的redo无法通过工具解析出来。无法看到异常redo的数据信息。_x000D_
【根因分析】：_x000D_
1. 【是否需求缺失引起】（是/否）：_x000D_
2. 【是否有需求但设计缺失】（是/否）：_x000D_
3. 【是否需求和设计有，但测试设计缺失】（是/否）：是  ， 对多进程上下文的redo 存放路径位置不理解，在设计中也未明确说明redo的目录，导致使用了普通上下文的Singleton目录进行redo解析测试.未对多进程上下文中的remote的redo存放路径进行测试，导致问题遗漏;同时测试时缺少对解析的数据内容做结果确认。_x000D_
问题根因：历史的功能和跨模块的功能，在历史的规格和资料中也没找到缺失，多进程上下文的持久化存放路径规则，导致路径信息不准确；同时测试对redo的数据的理解和数据检查缺少_x000D_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</si>
  <si>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3. 【需求和设计有，但测试设计缺失】(是否改进，如何改进？)：测试遇到场景不清楚的问题需要跟产品和设计核对客户场景和测试的场景的规则宣贯，测试的验证点更重视看工具是否可支持数据的解析，对解析的出来的数据准确性的检查意识不足，小组内进行数据准确性检查的质量意识宣贯   梁艳利 _x000D_
4. 【修改影响面评估不足导致测试设计缺失】(是否改进，如何改进？)：_x000D_
5. 【测试执行不全面引起（时间原因？策略原因？）】(是否改进，如何改进？)：_x000D_
6. 【其它原因】(是否改进，如何改进？)：</t>
  </si>
  <si>
    <r>
      <rPr>
        <sz val="11"/>
        <color rgb="FF000000"/>
        <rFont val="Microsoft YaHei"/>
        <family val="2"/>
        <charset val="134"/>
      </rPr>
      <t>设计活动</t>
    </r>
    <r>
      <rPr>
        <sz val="11"/>
        <color indexed="8"/>
        <rFont val="Calibri"/>
        <family val="2"/>
      </rPr>
      <t>/</t>
    </r>
    <r>
      <rPr>
        <sz val="11"/>
        <color rgb="FF000000"/>
        <rFont val="Microsoft YaHei"/>
        <family val="2"/>
        <charset val="134"/>
      </rPr>
      <t>设计遗漏项</t>
    </r>
    <phoneticPr fontId="13" type="noConversion"/>
  </si>
  <si>
    <t>服务端设置EnableAsyncSend=true场景下，服务端多个下游连接，当某个连接因为处理异常导致不接收应答时_x000D_
服务端会一直卡着发送此应答,导致其他连接应答数据无法返回,引发大面积的连接异常</t>
  </si>
  <si>
    <t>类型变更_x000D_
【原需求背景】_x000D_
【具体业务场景】：_x000D_
【遇到的问题】：_x000D_
【当前解决的方案】：_x000D_
【期望交付时间】：_x000D_
【发布分支】：_x000D_
  主干版本_x000D_
  机构版本_x000D_
  竞争力版本_x000D_
  方正版本_x000D_
【外部客户】：[如果此需求来源于外部客户，此处填写外部客户的名称]</t>
  </si>
  <si>
    <t>问题现象(发生的条件、现象)：_x000D_
服务端异步模式下，其中一个客户端连接卡住，会导致其他客户端发不动_x000D_
直接原因:_x000D_
核心配置EnableAsyncSend=true异步模式发送的时候，消息入完队列，当周边API出现应答回调异常卡死情况，导致消息一直没被消费，就一直积压在队列里面，tcp库目前的机制是，如果有链接数据发送失败（EAGAIN）则下一轮发送还是这个连接，其他连接应答数据没有发送机会，最终导致核心出现堵塞_x000D_
根本原因(必填):_x000D_
设计未考虑阻塞问题_x000D_
缺陷引入需求编号：_x000D_
T202401096732_x000D_
缺陷代码片段截图：</t>
  </si>
  <si>
    <t>当前缺陷改动方案:_x000D_
(1)发生阻塞时，目前方案如下：_x000D_
- 每个连接维护一个队列，通信线程每一轮发送遍历连接，若发送失败，跳到下一个连接进行发送，该特性通过配置项默认开启_x000D_
- 若业务要求所有连接的发送数据全局有序，则可关闭上述配置项，行为同现状一致_x000D_
(2)新增管理功能，输出服务端tcp工厂下的连接状态信息(前置、核心)_x000D_
(3)新增管理功能,能够将异常连接手工断开(前置、核心)_x000D_
代码里是否有同类问题:_x000D_
否_x000D_
改进措施(必填):_x000D_
添加管理功能监控类似异常_x000D_
责任人:莫国强_x000D_
计划完成时间:6.5_x000D_
当前是否已经补充到自动化用例:否</t>
  </si>
  <si>
    <t>【背景说明】：（还原：在什么前提下，谁做了什么事情，导致什么问题，越详细提炼出来的关键字越聚焦）_x000D_
为2021年需求#S2109090223 tcp异步发送性能优化代码引入_x000D_
具体现象为：服务器设置为异步模式，其中一个客户端卡住，会导致其他客户端发不动_x000D_
【根因分析】：_x000D_
1. 【是否需求缺失引起】（是/否）：_x000D_
2. 【是否有需求但设计缺失】（是/否）：是，当时的测试建议为“验证客户端可以与服务端建立连接，断开连接，发送数据，收取回复。”_x000D_
没有评估到卡住这种情况_x000D_
3. 【是否需求和设计有，但测试设计缺失】（是/否）：_x000D_
4. 【是否修改影响面评估不足导致测试设计缺失】（是/否）：_x000D_
5. 【是否测试执行不全面引起（时间原因？策略原因？）】（是/否）：_x000D_
6. 【其它原因】：</t>
  </si>
  <si>
    <t>[改进措施、关键行动项]（可以在方法、资源、时间、流程这些方面展开）_x000D_
1. 【需求缺失引起】(是否改进，如何改进？)：_x000D_
2. 【有需求但设计缺失】(是否改进，如何改进？)：_x000D_
重新审视tcp异步方式下的可靠性用例，增加进程异常、网络异常类相关用例_x000D_
3. 【需求和设计有，但测试设计缺失】(是否改进，如何改进？)：_x000D_
4. 【修改影响面评估不足导致测试设计缺失】(是否改进，如何改进？)：_x000D_
5. 【测试执行不全面引起（时间原因？策略原因？）】(是否改进，如何改进？)：_x000D_
6. 【其它原因】(是否改进，如何改进？)：</t>
  </si>
  <si>
    <t>WF1.2.V202501.03.000-1.3.0.99版本， 不支持对接oracle数据库下的进程合并部署模式，升级直接报错。同时，该版本为当时1.3.0.98版本发现进程合并模式下部署失败的修复版本，1.3.0.99版本依发现不支持oracle数据库，希望出小包修复。_x000D_
【影响分析】_x000D_
【对内影响】_x000D_
模块代码影响_x000D_
核心修改模块：否_x000D_
适配层代码：否_x000D_
配置文件变更：否_x000D_
组件版本影响_x000D_
依赖组件升级：否_x000D_
适配 SDK / 插件版本：否_x000D_
部署 / 运维影响_x000D_
部署脚本修改：是 ,install.sh_x000D_
启停 / 监控脚本适配：否_x000D_
目录 / 权限 / 日志适配：否_x000D_
【对外影响】_x000D_
用户侧影响：□ 无感知 □ 需重新配置 □ 需升级客户端 □ 其他_ 影响部署时选择数据库：如选择Oboracle，dm 数据库_x000D_
运维侧影响：□ 部署流程变更 □ 配置项新增 □ 备份恢复适配  无影响_x000D_
第三方影响：□ 无 □ 需对接厂商____ □ 驱动 / 授权变更 无影响_x000D_
【功能设计】_x000D_
mse部署和单独部署时加载外部jar包的路径不同。使用了变量copyTargetDir 表示外部jar包的路径 ，加载外部署jar包时统一这个路径即可。_x000D_
【接口设计】_x000D_
新增适配接口_x000D_
接口名称：____ 用途：____   未变更_x000D_
老接口变更_x000D_
原接口：____ 变更内容：____ 兼容方案：____  未变更_x000D_
废弃接口_x000D_
废弃接口：____ 替代方案：____  未变更_x000D_
配置接口_x000D_
新增适配配置项：__未变更__x000D_
配置切换 / 加载逻辑：__未变更___x000D_
配置项默认值：__未变更___x000D_
配置项边界值：___未变更__x000D_
【功能逻辑设计】_x000D_
数据库适配逻辑_x000D_
驱动加载策略：__按需加载___x000D_
SQL 方言 / 函数兼容：_oracle/oboracle/dm____x000D_
多 DB 切换流程：_不涉及____x000D_
集中式 / 分布式兼容：__未变更___x000D_
操作系统适配逻辑_x000D_
OS 特性兼容：_兼容____x000D_
进程 / 权限 / 文件适配：_不涉及___x000D_
安全机制兼容：_兼容____x000D_
通用适配流程_x000D_
启动环境自检：_不涉及___x000D_
降级 / 兼容方案：_不涉及___x000D_
【异常处理】_x000D_
适配加载异常：场景→处理逻辑_x000D_
兼容性异常：场景→处理逻辑_x000D_
权限 / 访问异常：场景→处理逻辑_x000D_
数据一致性异常：场景→处理逻辑_x000D_
兜底处理方案：_不涉及__x000D_
【非功能设计】_x000D_
【性能】_x000D_
原性能准出影响评估：___x000D_
【兼容性】_x000D_
向前兼容：__兼容___x000D_
多环境兼容：_oboracle.oracle,dm数据库部署验证____x000D_
部署兼容：______x000D_
【其他】（安全 / 可靠性 / 可维护性）_x000D_
安全：__不涉及__x000D_
可靠性：__不涉及_x000D_
可维护性：__不涉及__x000D_
【约束条件】_x000D_
【测试点描述】（仅提供测试输入）_x000D_
【测试点-功能测试】_x000D_
1. 验证在进程合并部署时选择oracle数据库，dm数据库，oboracle数据库。_x000D_
【测试点-错误异常处理】不涉及_x000D_
【测试点-性能】不涉及_x000D_
【测试点-兼容性】不涉及_x000D_
【测试点-其他非功能】不涉及_x000D_
PS：以上计划通过AI辅助工具给出</t>
  </si>
  <si>
    <t>【问题分析】_x000D_
【根本原因】：部署在oracle数据库时需要从外部署加载oracle驱动，工作流单独部署和 进程合并部署时，对外部jar包的加载路径不同，为了避免区分不同路径，使用了统一变量copyTargetDir。但是在支持boot3时需要把三方依赖外置，故把oracle驱动放置在options-jar/oracle目录，在install.sh脚本按需要加载。_x000D_
编码时使用了硬编码：./wf-server/lib/  未使用统一变量copyTargetDir。_x000D_
【问题影响】_x000D_
工作流单独部署，选择oracle数据库时无影响，进程合并部署时加载路径和单独部署不一样，导致加载驱动失败、_x000D_
【修改方案】_x000D_
改成加载oracle驱动使用统一变量加载即可。_x000D_
【是否涉及文档修改】是_x000D_
【文档修改内容和链接】_x000D_
https://alidocs.dingtalk.com/spreadsheetv2/R4lD0JgaBI73BMWM/edit?docKey=mPdnp8KxdVmenw98&amp;dentryKey=R4lD0JgaBI73BMWM&amp;type=s&amp;onlineEdit=true&amp;ext=xlsx_x000D_
【改进措施】：同类问题排查，需排查打包方式改变后，是否还有其它影响。_x000D_
责任人：潘红亮_x000D_
要求完成时间:26.05.11_x000D_
验收标准：代码 checklist 有这一项:67.template 版本 install.sh 脚本设置需要复制的外部jar包时，统一使用copyTargetDir_x000D_
类型变更_x000D_
【原需求背景】_x000D_
客户
【项目/产品名称】：期货UF3.0_x000D_
【外部客户】：创元期货、大地期货
版本
【版本信息】：1.3.0.84.1-202304.09.001_x000D_
【三方依赖】：需求涉及需提供，且确认客户环境与公司环境是否一致_x000D_
              【数据库】：oracle、dm_x000D_
              【操作系统】：不涉及_x000D_
              【数据库】：通用（一般默认mysql/oracle）_x000D_
              【操作系统】：不涉及_x000D_
              【其他】：不涉及
需求背景
【业务背景】：_x000D_
      【业务使用场景】：期货UF3.0信创客户数据库选型达梦。_x000D_
       【业务所期待解决的问题】：支持mse部署，数据库选择dm,oracle ,oboracle_x000D_
 【客户要求】：_x000D_
           【交付时间】：_x000D_
            【目标】支持mse部署，数据库选择dm,oracle ,oboracle_x000D_
           【其他功能、性能等要求】不涉及
实现目标
【产品背景】：需求接收人完善_x000D_
【产品目标】：支持mse部署，数据库选择dm,oracle ,oboracle
需求验收标准
支持mse部署，数据库选择dm,oracle ,oboracle</t>
  </si>
  <si>
    <t>可移植性</t>
  </si>
  <si>
    <t>【问题分析】_x000D_
【根本原因】：部署在oracle数据库时需要从外部署加载oracle驱动，工作流单独部署和 进程合并部署时，对外部jar包的加载路径不同，为了避免区分不同路径，使用了统一变量copyTargetDir。但是在支持boot3时需要把三方依赖外置，故把oracle驱动放置在options-jar/oracle目录，在install.sh脚本按需要加载。_x000D_
编码时使用了硬编码：./wf-server/lib/  未使用统一变量copyTargetDir。_x000D_
【问题影响】_x000D_
工作流单独部署，选择oracle数据库时无影响，进程合并部署时加载路径和单独部署不一样，导致加载驱动失败、_x000D_
【修改方案】_x000D_
改成加载oracle驱动使用统一变量加载即可。_x000D_
【是否涉及文档修改】是_x000D_
【文档修改内容和链接】_x000D_
https://alidocs.dingtalk.com/spreadsheetv2/R4lD0JgaBI73BMWM/edit?docKey=mPdnp8KxdVmenw98&amp;dentryKey=R4lD0JgaBI73BMWM&amp;type=s&amp;onlineEdit=true&amp;ext=xlsx_x000D_
【改进措施】：同类问题排查，需排查打包方式改变后，是否还有其它影响。_x000D_
责任人：潘红亮_x000D_
要求完成时间:26.05.11_x000D_
验收标准：代码 checklist 有这一项:67.template 版本 install.sh 脚本设置需要复制的外部jar包时，统一使用copyTargetDir</t>
  </si>
  <si>
    <t>测试遗漏原因分析_x000D_
【背景说明】：wf13包在进程合并部署mse时，使用oracle数据库时，部署失败_x000D_
【根因分析】：_x000D_
1. 【是否需求缺失引起】（是/否）：否_x000D_
2. 【是否有需求但设计缺失】（是/否）：是，在boot3升级时，未提到是否影响该方式部署；且mse部署包是按需发放_x000D_
3. 【是否需求和设计有，但测试设计缺失】（是/否）：否_x000D_
4. 【是否修改影响面评估不足导致测试设计缺失】（是/否）：否_x000D_
5. 【是否测试执行不全面引起（时间原因？策略原因？）】（是/否）：否_x000D_
6. 【其它原因】：否</t>
  </si>
  <si>
    <t>1. 【需求缺失引起】(是否改进，如何改进？)：否_x000D_
2. 【有需求但设计缺失】(是否改进，如何改进？)：是，补齐是否还有其他部署方式会受到影响(已与开发明确无其他制品影响)，进行验证测试_x000D_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【其它原因】(是否改进，如何改进？)：否</t>
  </si>
  <si>
    <t>名称
  漏洞类型
  远程利用
  存在EXP
  内核风险
  本地提权
  两高一弱
  漏洞描述
  修复建议
  修复影响
  验证信息_x000D_
  Spring Boot 拒绝服务漏洞(CVE-2023-20883)
  拒绝服务攻击
  是
  否
  否
  否
  否
  Spring
  Boot是由Pivotal团队提供的全新框架，其设计目的是用来简化新Spring应用的初始搭建以及开发过程。_x000D_
    Spring Boot 存在拒绝服务漏洞，在受影响的版本中，如果 Spring MVC 与反向代理缓存一起使用，则可能会受到拒绝服务 （DoS）
  攻击。
  将 Spring Boot 升级到 2.5.15、2.6.15、2.7.12、3.0.7
  及以上版本，下载地址：https://github.com/spring-projects/spring-boot/releases
  服务重启
  版本比对检测原理：检查当前系统中
  spring-boot-autoconfigure 版本是否在受影响版本内|版本比对检测结果：-
  spring-boot-autoconfigure_x000D_
      当前安装版本：2.2.13.RELEASE_x000D_
      应用相关信息：_x000D_
      - 进程PID：20443_x000D_
      -
  应用路径：/opt/bdata/studio/bdata-datago/bdata-datago/Libs/spring-boot-autoconfigure-2.2.13.RELEASE.jar_x000D_
    该主机存在此漏洞_x000D_
  Apache Commons Lang
  安全漏洞(CVE-2025-48924)
  拒绝服务攻击
  是
  否
  否
  否
  否
  Apache Commons
  Lang是美国阿帕奇（Apache）基金会的一个工具库。_x000D_
    Apache Commons Lang存在安全漏洞，该漏洞源于ClassUtils.getClass方法存在无限递归，可能导致栈溢出。
  将 Apache Commons Lang 升级到 3.18.0
  及以上版本，下载地址：https://github.com/apache/commons-lang
  服务重启
  版本比对检测原理：检查 commons-lang 或
  commons-lang3 版本是否在受影响版本内|版本比对检测结果：- commons-lang_x000D_
      当前安装版本：2.6_x000D_
      应用相关信息：_x000D_
      - 进程PID：20554_x000D_
      -
  应用路径：/opt/bdata/studio/bdata-datago/bdata-datago/DataX/plugin/reader/hdfsreader/libs/commons-lang-2.6.jar_x000D_
    - commons-lang_x000D_
      当前安装版本：2.6_x000D_
      应用相关信息：_x000D_
      - 进程PID：20554_x000D_
      -
  应用路径：/opt/bdata/studio/bdata-datago/bdata-datago/DataX/lib/commons-lang-2.6.jar_x000D_
    - commons-lang_x000D_
      当前安装版本：2.6_x000D_
      应用相关信息：_x000D_
      - 进程PID：44080_x000D_
      - 应用路径：/home/appadmin/bdata/env/spark_env/jars/commons-lang-2.6.jar_x000D_
    - commons-lang_x000D_
      当前安装版本：2.6_x000D_
      应用相关信息：_x000D_
      - 进程PID：20443_x000D_
      -
  应用路径：/opt/bdata/studio/bdata-datago/bdata-datago/Libs/commons-lang-2.6.jar_x000D_
    - commons-lang3_x000D_
      当前安装版本：3.3.2_x000D_
      应用相关信息：_x000D_
      - 进程PID：20554_x000D_
      -
  应用路径：/opt/bdata/studio/bdata-datago/bdata-datago/DataX/plugin/writer/oraclewriter/libs/commons-lang3-3.3.2.jar_x000D_
    - commons-lang3_x000D_
      当前安装版本：3.3.2_x000D_
      应用相关信息：_x000D_
      - 进程PID：20554_x000D_
      -
  应用路径：/opt/bdata/studio/bdata-datago/bdata-datago/DataX/lib/commons-lang3-3.3.2.jar_x000D_
    - commons-lang3_x000D_
      当前安装版本：3.3.2_x000D_
      应用相关信息：_x000D_
      - 进程PID：20554_x000D_
      -
  应用路径：/opt/bdata/studio/bdata-datago/bdata-datago/DataX/plugin/reader/hdfsreader/libs/commons-lang3-3.3.2.jar_x000D_
    - commons-lang3_x000D_
      当前安装版本：3.5_x000D_
      应用相关信息：_x000D_
      - 进程PID：44080_x000D_
      -
  应用路径：/home/appadmin/bdata/env/spark_env/jars/commons-lang3-3.5.jar_x000D_
    - commons-lang3_x000D_
      当前安装版本：3.9_x000D_
      应用相关信息：_x000D_
      - 进程PID：20443_x000D_
      - 应用路径：/opt/bdata/studio/bdata-datago/bdata-datago/Libs/commons-lang3-3.9.jar_x000D_
    该主机存在此漏洞_x000D_
  Spring Framework 安全漏洞(CVE-2025-41249)
  未授权访问
  是
  否
  否
  否
  否
  Spring
  Framework是Spring开源的一款应用开发框架。_x000D_
    Spring Framework存在安全漏洞，该漏洞源于注解检测机制无法正确解析泛型超类中的方法注解，可能导致授权决策错误。
  1.免费版本：_x000D_
    	6.2.x 系列：将 Spring 升级到 6.2.11
  及以上版本，下载地址：https://github.com/spring-projects/spring-framework/releases_x000D_
    2.商业版本：_x000D_
    	5.3.x 系列：将 Spring 升级到 5.3.45 及以上版本；_x000D_
    	6.1.x 系列：将 Spring 升级到 6.1.23 及以上版本；_x000D_
    	注意： 5.3.x 与 6.1.x
  均为商业支持版本，需联系官方厂商，参考链接：_x000D_
    	https://spring.io/security/cve-2025-41249_x000D_
    	https://spring.io/projects/spring-framework#support
  服务重启
  版本比对检测原理：检查 spring-core
  版本是否在受影响范围内|版本比对检测结果：_x000D_
    - spring-core_x000D_
      当前安装版本：5.2.22.RELEASE_x000D_
      应用相关信息：_x000D_
      - 进程PID：20443_x000D_
      -
  应用路径：/opt/bdata/studio/bdata-datago/bdata-datago/Libs/spring-core-5.2.22.RELEASE.jar_x000D_
    该主机存在此漏洞_x000D_
 Commons BeanUtils访问控制错误漏洞（CVE-2025-48734）
服务重启
版本比对检测原理：拉查当前系统中Commons BeanUtils:版本是否在受影响版本内|版本比对检测结果：Commons BeanUtils_x000D_
当前安装版本：1.9.4_x000D_
应用相关信总：_x000D_
-进程PID:20554_x000D_
-应用路径：/opt/bdata/studio/bdata-datago/bdata-_x000D_
datago/DataX/plugin/reader/hdfsreader/libs/commons-beanutils-1.9.4.jar_x000D_
commons-beanutils_x000D_
当前安装版本：1.9.4_x000D_
应用相关信息：_x000D_
进程PID:20554_x000D_
/opt/bdata/studio/bdata-datago/bdata-datago/Datax/lib/commons-beanutils-1.9.4.jar</t>
  </si>
  <si>
    <t>鑫元基金-安全漏洞</t>
  </si>
  <si>
    <t>已修复客户未升级</t>
  </si>
  <si>
    <t>问题现象(发生的条件、现象)：_x000D_
目前离线同步datago中的第三方组件中和 Datax reader/writer插件存在安全漏洞_x000D_
直接原因:_x000D_
引入了存在安全漏洞的第三方组件和 Datax reader/writer_x000D_
根本原因(必填):_x000D_
引入了存在安全漏洞的第三方组件_x000D_
根因分类(参考缺陷复盘里的分类项):</t>
  </si>
  <si>
    <t>当前缺陷改动方案:_x000D_
通过升级第三方组件解决_x000D_
代码里是否有同类问题:_x000D_
是_x000D_
改进措施(必填):_x000D_
暂时无法杜绝，第三方依赖的安全漏洞无法掌控_x000D_
责任人:_x000D_
计划完成时间:_x000D_
当前是否已经补充到自动化用例:</t>
  </si>
  <si>
    <t>【背景说明】：（还原：在什么前提下，谁做了什么事情，导致什么问题，越详细提炼出来的关键字越聚焦）_x000D_
扫描发现datago存在多个三方组件的安全漏洞。客户现场版本BDATA1.0.V202401.16.000，实际发布日期：2025-07-07。_x000D_
Spring Boot 拒绝服务漏洞(CVE-2023-20883)，公开日期2023/5/19_x000D_
Apache Commons Lang 安全漏洞(CVE-2025-48924)，公开日期2025/7/11_x000D_
Spring Framework 安全漏洞(CVE-2025-41249)，公开日期2025/9/16_x000D_
上述漏洞公司xray漏洞库均已收录，可正常检出。_x000D_
【根因分析】：_x000D_
1. 【是否需求缺失引起】（是/否）：_x000D_
2. 【是否有需求但设计缺失】（是/否）：_x000D_
3. 【是否需求和设计有，但测试设计缺失】（是/否）：_x000D_
4. 【是否修改影响面评估不足导致测试设计缺失】（是/否）：_x000D_
5. 【是否测试执行不全面引起（时间原因？策略原因？）】（是/否）：_x000D_
6. 【其它原因】：是，CVE-2023-20883漏洞影响的spring-boot组件自去年以来在公司级白名单中。CVE-2025-48924、CVE-2025-41249公开日期晚于版本发布日期，但该漏洞已经存在1年多时间，研发团队在后续版本修复中未对历史版本风险进行监控，并进行风险隐患评估和对客预警。</t>
  </si>
  <si>
    <t>[改进措施、关键行动项]（可以在方法、资源、时间、流程这些方面展开）_x000D_
1. 【需求缺失引起】(是否改进，如何改进？)：否_x000D_
2. 【有需求但设计缺失】(是否改进，如何改进？)：否否_x000D_
3. 【需求和设计有，但测试设计缺失】(是否改进，如何改进？)：_x000D_
4. 【修改影响面评估不足导致测试设计缺失】(是否改进，如何改进？)：否_x000D_
5. 【测试执行不全面引起（时间原因？策略原因？）】(是否改进，如何改进？)：否_x000D_
6. 【其它原因】(是否改进，如何改进？)：是，建议研发团队加强三方组件的日常风险监控，并及时完成风险隐患评估和对客预警。</t>
  </si>
  <si>
    <t>Apache Commons
  Lang 安全漏洞(CVE-2025-48924)
  拒绝服务攻击
  是
  否
  否
  否
  否
  Apache Commons
  Lang是美国阿帕奇（Apache）基金会的一个工具库。_x000D_
    Apache Commons Lang存在安全漏洞，该漏洞源于ClassUtils.getClass方法存在无限递归，可能导致栈溢出。
  将 Apache Commons Lang 升级到 3.18.0
  及以上版本，下载地址：https://github.com/apache/commons-lang
  服务重启
  版本比对检测原理：检查 commons-lang 或
  commons-lang3 版本是否在受影响版本内|版本比对检测结果：- commons-lang_x000D_
      当前安装版本：2.6_x000D_
      应用相关信息：_x000D_
      - 进程PID：20554_x000D_
      -
  应用路径：/opt/bdata/studio/bdata-datago/bdata-datago/DataX/plugin/reader/hdfsreader/libs/commons-lang-2.6.jar_x000D_
    - commons-lang_x000D_
      当前安装版本：2.6_x000D_
      应用相关信息：_x000D_
      - 进程PID：20554_x000D_
      -
  应用路径：/opt/bdata/studio/bdata-datago/bdata-datago/DataX/lib/commons-lang-2.6.jar_x000D_
    - commons-lang_x000D_
      当前安装版本：2.6_x000D_
      应用相关信息：_x000D_
      - 进程PID：44080_x000D_
      - 应用路径：/home/appadmin/bdata/env/spark_env/jars/commons-lang-2.6.jar_x000D_
    - commons-lang_x000D_
      当前安装版本：2.6_x000D_
      应用相关信息：_x000D_
      - 进程PID：20443_x000D_
      -
  应用路径：/opt/bdata/studio/bdata-datago/bdata-datago/Libs/commons-lang-2.6.jar_x000D_
    - commons-lang3_x000D_
      当前安装版本：3.3.2_x000D_
      应用相关信息：_x000D_
      - 进程PID：20554_x000D_
      -
  应用路径：/opt/bdata/studio/bdata-datago/bdata-datago/DataX/plugin/writer/oraclewriter/libs/commons-lang3-3.3.2.jar_x000D_
    - commons-lang3_x000D_
      当前安装版本：3.3.2_x000D_
      应用相关信息：_x000D_
      - 进程PID：20554_x000D_
      -
  应用路径：/opt/bdata/studio/bdata-datago/bdata-datago/DataX/lib/commons-lang3-3.3.2.jar_x000D_
    - commons-lang3_x000D_
      当前安装版本：3.3.2_x000D_
      应用相关信息：_x000D_
      - 进程PID：20554_x000D_
      -
  应用路径：/opt/bdata/studio/bdata-datago/bdata-datago/DataX/plugin/reader/hdfsreader/libs/commons-lang3-3.3.2.jar_x000D_
    - commons-lang3_x000D_
      当前安装版本：3.5_x000D_
      应用相关信息：_x000D_
      - 进程PID：44080_x000D_
      -
  应用路径：/home/appadmin/bdata/env/spark_env/jars/commons-lang3-3.5.jar_x000D_
    - commons-lang3_x000D_
      当前安装版本：3.9_x000D_
      应用相关信息：_x000D_
      - 进程PID：20443_x000D_
      - 应用路径：/opt/bdata/studio/bdata-datago/bdata-datago/Libs/commons-lang3-3.9.jar_x000D_
    该主机存在此漏洞
  2026/4/30 6:30</t>
  </si>
  <si>
    <t>问题现象(发生的条件、现象)：_x000D_
引入的第三方依赖包含安全漏洞_x000D_
直接原因:_x000D_
引入的第三方依赖包含安全漏洞_x000D_
根本原因(必填):_x000D_
第三方依赖的源码存在安全问题_x000D_
根因分类(参考缺陷复盘里的分类项):</t>
  </si>
  <si>
    <t>当前缺陷改动方案:_x000D_
升级相关依赖到漏洞修复版本_x000D_
代码里是否有同类问题:_x000D_
否_x000D_
改进措施(必填):_x000D_
暂无改进措施，只能通过升级解决_x000D_
责任人:_x000D_
周淼_x000D_
计划完成时间:_x000D_
2026.5.22_x000D_
当前是否已经补充到自动化用例:</t>
  </si>
  <si>
    <t>【背景说明】：（还原：在什么前提下，谁做了什么事情，导致什么问题，越详细提炼出来的关键字越聚焦）_x000D_
扫描发现spark存在三方组件的安全漏洞。客户现场版本BDATA1.0.V202401.18.009（实际发布日期：2025-12-31），其增量版本BDATA1.0.V202401.18.000（实际发布日期：2025-7-30）_x000D_
Apache Commons Lang 安全漏洞(CVE-2025-48924)，公开日期2025/7/11_x000D_
该漏洞公司xray漏洞库已收录，可正常检出。_x000D_
【根因分析】：_x000D_
1. 【是否需求缺失引起】（是/否）：否_x000D_
2. 【是否有需求但设计缺失】（是/否）：否_x000D_
3. 【是否需求和设计有，但测试设计缺失】（是/否）：否_x000D_
4. 【是否修改影响面评估不足导致测试设计缺失】（是/否）：否_x000D_
5. 【是否测试执行不全面引起（时间原因？策略原因？）】（是/否）：否_x000D_
6. 【其它原因】：是，CVE-2025-48924公开日期晚于版本发布日期，但该漏洞已经存在1年多时间，研发团队在后续版本修复中未对历史版本风险进行监控，并进行风险隐患评估和对客预警。</t>
  </si>
  <si>
    <t>[改进措施、关键行动项]（可以在方法、资源、时间、流程这些方面展开）_x000D_
1. 【需求缺失引起】(是否改进，如何改进？)：否_x000D_
2. 【有需求但设计缺失】(是否改进，如何改进？)：否_x000D_
3. 【需求和设计有，但测试设计缺失】(是否改进，如何改进？)：否_x000D_
4. 【修改影响面评估不足导致测试设计缺失】(是否改进，如何改进？)：否_x000D_
5. 【测试执行不全面引起（时间原因？策略原因？）】(是否改进，如何改进？)：否_x000D_
6. 【其它原因】(是否改进，如何改进？)：是，建议研发团队加强三方组件的日常风险监控，并及时完成风险隐患评估和对客预警。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</si>
</sst>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1"/>
      <color rgb="FFFFFFFF"/>
      <name val="Carlito"/>
    </font>
    <font>
      <b/>
      <sz val="10"/>
      <color rgb="FFFFFFFF"/>
      <name val="Carlito"/>
    </font>
    <font>
      <sz val="10"/>
      <name val="Carlito"/>
    </font>
    <font>
      <sz val="11"/>
      <name val="Carlito"/>
    </font>
    <font>
      <sz val="9"/>
      <name val="FangSong"/>
      <family val="3"/>
      <charset val="134"/>
    </font>
    <font>
      <sz val="11"/>
      <color indexed="8"/>
      <name val="Calibri"/>
      <family val="2"/>
      <scheme val="minor"/>
    </font>
    <font>
      <b/>
      <sz val="11"/>
      <color indexed="8"/>
      <name val="Calibri"/>
      <family val="2"/>
    </font>
    <font>
      <u/>
      <sz val="11"/>
      <color indexed="12"/>
      <name val="Calibri"/>
      <family val="2"/>
    </font>
    <font>
      <sz val="11"/>
      <color indexed="8"/>
      <name val="Calibri"/>
      <family val="2"/>
    </font>
    <font>
      <sz val="11"/>
      <color rgb="FF0070C0"/>
      <name val="宋体"/>
      <family val="3"/>
      <charset val="134"/>
    </font>
    <font>
      <sz val="11"/>
      <color indexed="8"/>
      <name val="Calibri"/>
      <family val="2"/>
      <charset val="134"/>
    </font>
    <font>
      <sz val="11"/>
      <color rgb="FF000000"/>
      <name val="Microsoft YaHei"/>
      <family val="2"/>
      <charset val="134"/>
    </font>
    <font>
      <sz val="9"/>
      <name val="Calibri"/>
      <family val="3"/>
      <charset val="134"/>
      <scheme val="minor"/>
    </font>
  </fonts>
  <fills count="5">
    <fill>
      <patternFill patternType="none"/>
    </fill>
    <fill>
      <patternFill patternType="gray125"/>
    </fill>
    <fill>
      <patternFill patternType="solid">
        <fgColor rgb="FF0F766E"/>
      </patternFill>
    </fill>
    <fill>
      <patternFill patternType="mediumGray">
        <fgColor indexed="13"/>
        <bgColor indexed="13"/>
      </patternFill>
    </fill>
    <fill>
      <patternFill patternType="solid">
        <fgColor rgb="FFBDD7EE"/>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4" fillId="0" borderId="0"/>
    <xf numFmtId="0" fontId="6" fillId="0" borderId="1"/>
  </cellStyleXfs>
  <cellXfs count="21">
    <xf numFmtId="0" fontId="0" fillId="0" borderId="0" xfId="0"/>
    <xf numFmtId="0" fontId="1" fillId="2"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49" fontId="0" fillId="0" borderId="0" xfId="1" applyNumberFormat="1" applyFont="1" applyAlignment="1">
      <alignment vertical="top" wrapText="1"/>
    </xf>
    <xf numFmtId="49" fontId="0" fillId="0" borderId="0" xfId="1" applyNumberFormat="1" applyFont="1" applyAlignment="1">
      <alignment wrapText="1"/>
    </xf>
    <xf numFmtId="0" fontId="2" fillId="2" borderId="0" xfId="1" applyFont="1" applyFill="1" applyAlignment="1">
      <alignment horizontal="center" vertical="center" wrapText="1"/>
    </xf>
    <xf numFmtId="0" fontId="3" fillId="0" borderId="0" xfId="1" applyFont="1"/>
    <xf numFmtId="0" fontId="2" fillId="2" borderId="0" xfId="1" applyFont="1" applyFill="1" applyAlignment="1">
      <alignment horizontal="center" vertical="top" wrapText="1"/>
    </xf>
    <xf numFmtId="0" fontId="2" fillId="2" borderId="0" xfId="1" applyFont="1" applyFill="1" applyAlignment="1">
      <alignment horizontal="center" vertical="center" wrapText="1"/>
    </xf>
    <xf numFmtId="0" fontId="3" fillId="0" borderId="0" xfId="1" applyFont="1"/>
    <xf numFmtId="0" fontId="7" fillId="0" borderId="1" xfId="2" applyFont="1"/>
    <xf numFmtId="0" fontId="6" fillId="0" borderId="1" xfId="2"/>
    <xf numFmtId="0" fontId="7" fillId="3" borderId="2" xfId="2" applyFont="1" applyFill="1" applyBorder="1" applyAlignment="1">
      <alignment horizontal="center"/>
    </xf>
    <xf numFmtId="0" fontId="7" fillId="3" borderId="2" xfId="2" applyFont="1" applyFill="1" applyBorder="1" applyAlignment="1">
      <alignment horizontal="center" vertical="center" wrapText="1"/>
    </xf>
    <xf numFmtId="0" fontId="8" fillId="0" borderId="2" xfId="2" applyFont="1" applyBorder="1" applyAlignment="1">
      <alignment horizontal="left" vertical="center" wrapText="1"/>
    </xf>
    <xf numFmtId="0" fontId="9" fillId="0" borderId="2" xfId="2" applyFont="1" applyBorder="1" applyAlignment="1">
      <alignment horizontal="left" vertical="center" wrapText="1"/>
    </xf>
    <xf numFmtId="0" fontId="9" fillId="0" borderId="2" xfId="2" applyFont="1" applyBorder="1" applyAlignment="1">
      <alignment vertical="top" wrapText="1"/>
    </xf>
    <xf numFmtId="0" fontId="10" fillId="4" borderId="2" xfId="2" applyFont="1" applyFill="1" applyBorder="1" applyAlignment="1">
      <alignment vertical="top" wrapText="1"/>
    </xf>
    <xf numFmtId="0" fontId="11" fillId="0" borderId="2" xfId="2" applyFont="1" applyBorder="1" applyAlignment="1">
      <alignment vertical="top" wrapText="1"/>
    </xf>
    <xf numFmtId="0" fontId="11" fillId="0" borderId="2" xfId="2" applyFont="1" applyBorder="1" applyAlignment="1">
      <alignment horizontal="left" vertical="center" wrapText="1"/>
    </xf>
  </cellXfs>
  <cellStyles count="3">
    <cellStyle name="Normal" xfId="1" xr:uid="{00000000-0005-0000-0000-000000000000}"/>
    <cellStyle name="常规" xfId="0" builtinId="0"/>
    <cellStyle name="常规 2" xfId="2" xr:uid="{C2550E3A-C995-5044-B2A8-6D571C47A1C7}"/>
  </cellStyles>
  <dxfs count="5">
    <dxf>
      <fill>
        <patternFill patternType="solid">
          <bgColor rgb="FFFEF3C7"/>
        </patternFill>
      </fill>
    </dxf>
    <dxf>
      <fill>
        <patternFill patternType="solid">
          <bgColor rgb="FFDBEAFE"/>
        </patternFill>
      </fill>
    </dxf>
    <dxf>
      <fill>
        <patternFill patternType="solid">
          <bgColor rgb="FFFEE2E2"/>
        </patternFill>
      </fill>
    </dxf>
    <dxf>
      <fill>
        <patternFill patternType="solid">
          <bgColor rgb="FFFEF3C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en-US" altLang="zh-CN"/>
              <a:t>5</a:t>
            </a:r>
            <a:r>
              <a:rPr lang="zh-CN" altLang="en-US"/>
              <a:t>月缺陷筛选与判定分布</a:t>
            </a:r>
          </a:p>
        </c:rich>
      </c:tx>
      <c:overlay val="0"/>
    </c:title>
    <c:autoTitleDeleted val="0"/>
    <c:plotArea>
      <c:layout/>
      <c:barChart>
        <c:barDir val="col"/>
        <c:grouping val="clustered"/>
        <c:varyColors val="0"/>
        <c:ser>
          <c:idx val="0"/>
          <c:order val="0"/>
          <c:tx>
            <c:v>数量</c:v>
          </c:tx>
          <c:invertIfNegative val="1"/>
          <c:cat>
            <c:strRef>
              <c:f>统计看板!$A$4:$A$11</c:f>
              <c:strCache>
                <c:ptCount val="8"/>
                <c:pt idx="0">
                  <c:v>5月缺陷总数</c:v>
                </c:pt>
                <c:pt idx="1">
                  <c:v>纳入分析条目</c:v>
                </c:pt>
                <c:pt idx="2">
                  <c:v>未纳入分析条目</c:v>
                </c:pt>
                <c:pt idx="3">
                  <c:v>违反已有指引</c:v>
                </c:pt>
                <c:pt idx="4">
                  <c:v>部分覆盖，需扩展</c:v>
                </c:pt>
                <c:pt idx="5">
                  <c:v>未覆盖，建议新增</c:v>
                </c:pt>
                <c:pt idx="6">
                  <c:v>已有指引覆盖，不新增</c:v>
                </c:pt>
                <c:pt idx="7">
                  <c:v>建议新增/扩展数量</c:v>
                </c:pt>
              </c:strCache>
            </c:strRef>
          </c:cat>
          <c:val>
            <c:numRef>
              <c:f>统计看板!$B$4:$B$11</c:f>
              <c:numCache>
                <c:formatCode>General</c:formatCode>
                <c:ptCount val="8"/>
                <c:pt idx="0">
                  <c:v>22</c:v>
                </c:pt>
                <c:pt idx="1">
                  <c:v>12</c:v>
                </c:pt>
                <c:pt idx="2">
                  <c:v>10</c:v>
                </c:pt>
                <c:pt idx="3">
                  <c:v>9</c:v>
                </c:pt>
                <c:pt idx="4">
                  <c:v>3</c:v>
                </c:pt>
                <c:pt idx="5">
                  <c:v>0</c:v>
                </c:pt>
                <c:pt idx="6">
                  <c:v>0</c:v>
                </c:pt>
                <c:pt idx="7">
                  <c:v>3</c:v>
                </c:pt>
              </c:numCache>
            </c:numRef>
          </c:val>
          <c:extLst>
            <c:ext xmlns:c16="http://schemas.microsoft.com/office/drawing/2014/chart" uri="{C3380CC4-5D6E-409C-BE32-E72D297353CC}">
              <c16:uniqueId val="{00000000-F951-8548-A8CE-B7720BBBD06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lang="zh-CN" altLang="en-US"/>
              <a:t>纳入分析条目的主质量属性分布</a:t>
            </a:r>
          </a:p>
        </c:rich>
      </c:tx>
      <c:overlay val="0"/>
    </c:title>
    <c:autoTitleDeleted val="0"/>
    <c:plotArea>
      <c:layout/>
      <c:barChart>
        <c:barDir val="col"/>
        <c:grouping val="clustered"/>
        <c:varyColors val="0"/>
        <c:ser>
          <c:idx val="0"/>
          <c:order val="0"/>
          <c:tx>
            <c:v>数量</c:v>
          </c:tx>
          <c:invertIfNegative val="1"/>
          <c:cat>
            <c:strRef>
              <c:f>统计看板!$D$4:$D$7</c:f>
              <c:strCache>
                <c:ptCount val="4"/>
                <c:pt idx="0">
                  <c:v>兼容性</c:v>
                </c:pt>
                <c:pt idx="1">
                  <c:v>可靠性</c:v>
                </c:pt>
                <c:pt idx="2">
                  <c:v>性能</c:v>
                </c:pt>
                <c:pt idx="3">
                  <c:v>安全</c:v>
                </c:pt>
              </c:strCache>
            </c:strRef>
          </c:cat>
          <c:val>
            <c:numRef>
              <c:f>统计看板!$E$4:$E$7</c:f>
              <c:numCache>
                <c:formatCode>General</c:formatCode>
                <c:ptCount val="4"/>
                <c:pt idx="0">
                  <c:v>7</c:v>
                </c:pt>
                <c:pt idx="1">
                  <c:v>3</c:v>
                </c:pt>
                <c:pt idx="2">
                  <c:v>1</c:v>
                </c:pt>
                <c:pt idx="3">
                  <c:v>1</c:v>
                </c:pt>
              </c:numCache>
            </c:numRef>
          </c:val>
          <c:extLst>
            <c:ext xmlns:c16="http://schemas.microsoft.com/office/drawing/2014/chart" uri="{C3380CC4-5D6E-409C-BE32-E72D297353CC}">
              <c16:uniqueId val="{00000000-01C3-7A42-882C-CB3E9324E2B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0</xdr:rowOff>
    </xdr:from>
    <xdr:to>
      <xdr:col>14</xdr:col>
      <xdr:colOff>0</xdr:colOff>
      <xdr:row>34</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yDefectAnalysisTable" displayName="MayDefectAnalysisTable" ref="A1:T13">
  <tableColumns count="20">
    <tableColumn id="1" xr3:uid="{00000000-0010-0000-0000-000001000000}" name="序号"/>
    <tableColumn id="2" xr3:uid="{00000000-0010-0000-0000-000002000000}" name="编号"/>
    <tableColumn id="3" xr3:uid="{00000000-0010-0000-0000-000003000000}" name="产品名称"/>
    <tableColumn id="4" xr3:uid="{00000000-0010-0000-0000-000004000000}" name="缺陷标题"/>
    <tableColumn id="5" xr3:uid="{00000000-0010-0000-0000-000005000000}" name="调整后的缺陷引入原因分类"/>
    <tableColumn id="6" xr3:uid="{00000000-0010-0000-0000-000006000000}" name="分类原因"/>
    <tableColumn id="7" xr3:uid="{00000000-0010-0000-0000-000007000000}" name="主质量属性"/>
    <tableColumn id="8" xr3:uid="{00000000-0010-0000-0000-000008000000}" name="关联质量属性"/>
    <tableColumn id="9" xr3:uid="{00000000-0010-0000-0000-000009000000}" name="问题场景L1"/>
    <tableColumn id="10" xr3:uid="{00000000-0010-0000-0000-00000A000000}" name="问题场景L2"/>
    <tableColumn id="11" xr3:uid="{00000000-0010-0000-0000-00000B000000}" name="问题场景L3"/>
    <tableColumn id="12" xr3:uid="{00000000-0010-0000-0000-00000C000000}" name="关键根因摘要"/>
    <tableColumn id="13" xr3:uid="{00000000-0010-0000-0000-00000D000000}" name="判定结论"/>
    <tableColumn id="14" xr3:uid="{00000000-0010-0000-0000-00000E000000}" name="命中既有指引/规则"/>
    <tableColumn id="15" xr3:uid="{00000000-0010-0000-0000-00000F000000}" name="判定理由"/>
    <tableColumn id="16" xr3:uid="{00000000-0010-0000-0000-000010000000}" name="是否建议新增/扩展"/>
    <tableColumn id="17" xr3:uid="{00000000-0010-0000-0000-000011000000}" name="建议指引编号"/>
    <tableColumn id="18" xr3:uid="{00000000-0010-0000-0000-000012000000}" name="建议新增/扩展设计指引"/>
    <tableColumn id="19" xr3:uid="{00000000-0010-0000-0000-000013000000}" name="建议落地动作/Checklist方向"/>
    <tableColumn id="20" xr3:uid="{00000000-0010-0000-0000-000014000000}" name="关联/重复说明"/>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yNewGuideProposalsTable" displayName="MayNewGuideProposalsTable" ref="A1:L4">
  <tableColumns count="12">
    <tableColumn id="1" xr3:uid="{00000000-0010-0000-0100-000001000000}" name="指引编号"/>
    <tableColumn id="2" xr3:uid="{00000000-0010-0000-0100-000002000000}" name="指引名称"/>
    <tableColumn id="3" xr3:uid="{00000000-0010-0000-0100-000003000000}" name="纳入类型"/>
    <tableColumn id="4" xr3:uid="{00000000-0010-0000-0100-000004000000}" name="主质量属性"/>
    <tableColumn id="5" xr3:uid="{00000000-0010-0000-0100-000005000000}" name="问题场景L1"/>
    <tableColumn id="6" xr3:uid="{00000000-0010-0000-0100-000006000000}" name="问题场景L2"/>
    <tableColumn id="7" xr3:uid="{00000000-0010-0000-0100-000007000000}" name="触发缺陷"/>
    <tableColumn id="8" xr3:uid="{00000000-0010-0000-0100-000008000000}" name="治理目标"/>
    <tableColumn id="9" xr3:uid="{00000000-0010-0000-0100-000009000000}" name="核心设计要求"/>
    <tableColumn id="10" xr3:uid="{00000000-0010-0000-0100-00000A000000}" name="Review Checklist/验证方法"/>
    <tableColumn id="11" xr3:uid="{00000000-0010-0000-0100-00000B000000}" name="优先级"/>
    <tableColumn id="12" xr3:uid="{00000000-0010-0000-0100-00000C000000}" name="纳入方式"/>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MayTaxonomyTable" displayName="MayTaxonomyTable" ref="A1:C24">
  <tableColumns count="3">
    <tableColumn id="1" xr3:uid="{00000000-0010-0000-0200-000001000000}" name="类别"/>
    <tableColumn id="2" xr3:uid="{00000000-0010-0000-0200-000002000000}" name="规则/取值"/>
    <tableColumn id="3" xr3:uid="{00000000-0010-0000-0200-000003000000}" name="说明"/>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MayExcludedTable" displayName="MayExcludedTable" ref="A1:G11">
  <tableColumns count="7">
    <tableColumn id="1" xr3:uid="{00000000-0010-0000-0300-000001000000}" name="序号"/>
    <tableColumn id="2" xr3:uid="{00000000-0010-0000-0300-000002000000}" name="编号"/>
    <tableColumn id="3" xr3:uid="{00000000-0010-0000-0300-000003000000}" name="产品名称"/>
    <tableColumn id="4" xr3:uid="{00000000-0010-0000-0300-000004000000}" name="缺陷标题"/>
    <tableColumn id="5" xr3:uid="{00000000-0010-0000-0300-000005000000}" name="调整后的缺陷引入原因分类"/>
    <tableColumn id="6" xr3:uid="{00000000-0010-0000-0300-000006000000}" name="分类原因"/>
    <tableColumn id="7" xr3:uid="{00000000-0010-0000-0300-000007000000}" name="不纳入分析原因"/>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yCriteriaTable" displayName="MayCriteriaTable" ref="A1:B10">
  <tableColumns count="2">
    <tableColumn id="1" xr3:uid="{00000000-0010-0000-0400-000001000000}" name="项目"/>
    <tableColumn id="2" xr3:uid="{00000000-0010-0000-0400-000002000000}"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hyperlink" Target="https://dev.hundsun.com/frameV2/pms/product/storyRouterDetails?project_ids=null&amp;story_id=8441959&amp;product_id=253" TargetMode="External"/><Relationship Id="rId13" Type="http://schemas.openxmlformats.org/officeDocument/2006/relationships/hyperlink" Target="https://dev.hundsun.com/frameV2/pms/product/storyRouterDetails?project_ids=null&amp;story_id=8437743&amp;product_id=4003051" TargetMode="External"/><Relationship Id="rId18" Type="http://schemas.openxmlformats.org/officeDocument/2006/relationships/hyperlink" Target="https://dev.hundsun.com/frameV2/pms/storyNew?project_ids=200004577&amp;story_id=8430584" TargetMode="External"/><Relationship Id="rId3" Type="http://schemas.openxmlformats.org/officeDocument/2006/relationships/hyperlink" Target="https://dev.hundsun.com/frameV2/pms/storyNew?project_ids=200004505&amp;story_id=8451707" TargetMode="External"/><Relationship Id="rId21" Type="http://schemas.openxmlformats.org/officeDocument/2006/relationships/hyperlink" Target="https://dev.hundsun.com/frameV2/pms/storyNew?project_ids=200004377&amp;story_id=8423089" TargetMode="External"/><Relationship Id="rId7" Type="http://schemas.openxmlformats.org/officeDocument/2006/relationships/hyperlink" Target="https://dev.hundsun.com/frameV2/pms/storyNew?project_ids=200004530&amp;story_id=8444253" TargetMode="External"/><Relationship Id="rId12" Type="http://schemas.openxmlformats.org/officeDocument/2006/relationships/hyperlink" Target="https://dev.hundsun.com/frameV2/pms/storyNew?project_ids=200004659&amp;story_id=8438427" TargetMode="External"/><Relationship Id="rId17" Type="http://schemas.openxmlformats.org/officeDocument/2006/relationships/hyperlink" Target="https://dev.hundsun.com/frameV2/pms/storyNew?project_ids=200004595&amp;story_id=8431659" TargetMode="External"/><Relationship Id="rId2" Type="http://schemas.openxmlformats.org/officeDocument/2006/relationships/hyperlink" Target="https://dev.hundsun.com/frameV2/pms/storyNew?project_ids=200004377&amp;story_id=8453510" TargetMode="External"/><Relationship Id="rId16" Type="http://schemas.openxmlformats.org/officeDocument/2006/relationships/hyperlink" Target="https://dev.hundsun.com/frameV2/pms/storyNew?project_ids=200004577&amp;story_id=8432196" TargetMode="External"/><Relationship Id="rId20" Type="http://schemas.openxmlformats.org/officeDocument/2006/relationships/hyperlink" Target="https://dev.hundsun.com/frameV2/pms/storyNew?project_ids=200004371,200004863&amp;story_id=8425089" TargetMode="External"/><Relationship Id="rId1" Type="http://schemas.openxmlformats.org/officeDocument/2006/relationships/hyperlink" Target="https://dev.hundsun.com/frameV2/pms/storyNew?project_ids=200004577&amp;story_id=8453760" TargetMode="External"/><Relationship Id="rId6" Type="http://schemas.openxmlformats.org/officeDocument/2006/relationships/hyperlink" Target="https://dev.hundsun.com/frameV2/pms/product/storyRouterDetails?project_ids=null&amp;story_id=8445611&amp;product_id=237" TargetMode="External"/><Relationship Id="rId11" Type="http://schemas.openxmlformats.org/officeDocument/2006/relationships/hyperlink" Target="https://dev.hundsun.com/frameV2/pms/storyNew?project_ids=200004363&amp;story_id=8438823" TargetMode="External"/><Relationship Id="rId5" Type="http://schemas.openxmlformats.org/officeDocument/2006/relationships/hyperlink" Target="https://dev.hundsun.com/frameV2/pms/storyNew?project_ids=200004445&amp;story_id=8446737" TargetMode="External"/><Relationship Id="rId15" Type="http://schemas.openxmlformats.org/officeDocument/2006/relationships/hyperlink" Target="https://dev.hundsun.com/frameV2/pms/storyNew?project_ids=200004659&amp;story_id=8436637" TargetMode="External"/><Relationship Id="rId10" Type="http://schemas.openxmlformats.org/officeDocument/2006/relationships/hyperlink" Target="https://dev.hundsun.com/frameV2/pms/storyNew?project_ids=200004550&amp;story_id=8439360" TargetMode="External"/><Relationship Id="rId19" Type="http://schemas.openxmlformats.org/officeDocument/2006/relationships/hyperlink" Target="https://dev.hundsun.com/frameV2/pms/storyNew?project_ids=200004458,200004577&amp;story_id=8428104" TargetMode="External"/><Relationship Id="rId4" Type="http://schemas.openxmlformats.org/officeDocument/2006/relationships/hyperlink" Target="https://dev.hundsun.com/frameV2/pms/storyNew?project_ids=200004363&amp;story_id=8448518" TargetMode="External"/><Relationship Id="rId9" Type="http://schemas.openxmlformats.org/officeDocument/2006/relationships/hyperlink" Target="https://dev.hundsun.com/frameV2/pms/product/storyRouterDetails?project_ids=null&amp;story_id=8439688&amp;product_id=342" TargetMode="External"/><Relationship Id="rId14" Type="http://schemas.openxmlformats.org/officeDocument/2006/relationships/hyperlink" Target="https://dev.hundsun.com/frameV2/pms/storyNew?project_ids=200004659&amp;story_id=8437665" TargetMode="External"/><Relationship Id="rId22" Type="http://schemas.openxmlformats.org/officeDocument/2006/relationships/hyperlink" Target="https://dev.hundsun.com/frameV2/pms/storyNew?project_ids=200004377&amp;story_id=84230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
  <sheetViews>
    <sheetView workbookViewId="0">
      <selection sqref="A1:H1"/>
    </sheetView>
  </sheetViews>
  <sheetFormatPr baseColWidth="10" defaultColWidth="8.83203125" defaultRowHeight="14"/>
  <cols>
    <col min="1" max="1" width="30" customWidth="1"/>
    <col min="2" max="2" width="14" customWidth="1"/>
    <col min="4" max="4" width="18" customWidth="1"/>
    <col min="5" max="5" width="12" customWidth="1"/>
    <col min="6" max="6" width="60" customWidth="1"/>
  </cols>
  <sheetData>
    <row r="1" spans="1:26">
      <c r="A1" s="9" t="s">
        <v>0</v>
      </c>
      <c r="B1" s="10"/>
      <c r="C1" s="10"/>
      <c r="D1" s="10"/>
      <c r="E1" s="10"/>
      <c r="F1" s="10"/>
      <c r="G1" s="10"/>
      <c r="H1" s="10"/>
      <c r="I1" s="7"/>
      <c r="J1" s="7"/>
      <c r="K1" s="7"/>
      <c r="L1" s="7"/>
      <c r="M1" s="7"/>
      <c r="N1" s="7"/>
      <c r="O1" s="7"/>
      <c r="P1" s="7"/>
      <c r="Q1" s="7"/>
      <c r="R1" s="7"/>
      <c r="S1" s="7"/>
      <c r="T1" s="7"/>
      <c r="U1" s="7"/>
      <c r="V1" s="7"/>
      <c r="W1" s="7"/>
      <c r="X1" s="7"/>
      <c r="Y1" s="7"/>
      <c r="Z1" s="7"/>
    </row>
    <row r="3" spans="1:26" ht="16">
      <c r="A3" s="1" t="s">
        <v>1</v>
      </c>
      <c r="B3" s="1" t="s">
        <v>2</v>
      </c>
      <c r="C3" s="2"/>
      <c r="D3" s="1" t="s">
        <v>3</v>
      </c>
      <c r="E3" s="1" t="s">
        <v>2</v>
      </c>
      <c r="F3" s="2"/>
    </row>
    <row r="4" spans="1:26" ht="15">
      <c r="A4" s="2" t="s">
        <v>4</v>
      </c>
      <c r="B4" s="2">
        <v>22</v>
      </c>
      <c r="C4" s="2"/>
      <c r="D4" s="2" t="s">
        <v>5</v>
      </c>
      <c r="E4" s="2">
        <f>COUNTIF(逐条分析!G2:G13,"兼容性")</f>
        <v>7</v>
      </c>
      <c r="F4" s="2"/>
    </row>
    <row r="5" spans="1:26" ht="15">
      <c r="A5" s="2" t="s">
        <v>6</v>
      </c>
      <c r="B5" s="2">
        <f>COUNTA(逐条分析!B2:B13)</f>
        <v>12</v>
      </c>
      <c r="C5" s="2"/>
      <c r="D5" s="2" t="s">
        <v>7</v>
      </c>
      <c r="E5" s="2">
        <f>COUNTIF(逐条分析!G2:G13,"可靠性")</f>
        <v>3</v>
      </c>
      <c r="F5" s="2"/>
    </row>
    <row r="6" spans="1:26" ht="15">
      <c r="A6" s="2" t="s">
        <v>8</v>
      </c>
      <c r="B6" s="2">
        <v>10</v>
      </c>
      <c r="C6" s="2"/>
      <c r="D6" s="2" t="s">
        <v>9</v>
      </c>
      <c r="E6" s="2">
        <f>COUNTIF(逐条分析!G2:G13,"性能")</f>
        <v>1</v>
      </c>
      <c r="F6" s="2"/>
    </row>
    <row r="7" spans="1:26" ht="15">
      <c r="A7" s="2" t="s">
        <v>10</v>
      </c>
      <c r="B7" s="2">
        <f>COUNTIF(逐条分析!M2:M13,"违反已有指引")</f>
        <v>9</v>
      </c>
      <c r="C7" s="2"/>
      <c r="D7" s="2" t="s">
        <v>11</v>
      </c>
      <c r="E7" s="2">
        <f>COUNTIF(逐条分析!G2:G13,"安全")</f>
        <v>1</v>
      </c>
      <c r="F7" s="2"/>
    </row>
    <row r="8" spans="1:26" ht="15">
      <c r="A8" s="2" t="s">
        <v>12</v>
      </c>
      <c r="B8" s="2">
        <f>COUNTIF(逐条分析!M2:M13,"部分覆盖，需扩展")</f>
        <v>3</v>
      </c>
      <c r="C8" s="2"/>
      <c r="D8" s="2"/>
      <c r="E8" s="2"/>
      <c r="F8" s="2"/>
    </row>
    <row r="9" spans="1:26" ht="15">
      <c r="A9" s="2" t="s">
        <v>13</v>
      </c>
      <c r="B9" s="2">
        <f>COUNTIF(逐条分析!M2:M13,"未覆盖，建议新增")</f>
        <v>0</v>
      </c>
      <c r="C9" s="2"/>
      <c r="D9" s="2"/>
      <c r="E9" s="2"/>
      <c r="F9" s="2"/>
    </row>
    <row r="10" spans="1:26" ht="15">
      <c r="A10" s="2" t="s">
        <v>14</v>
      </c>
      <c r="B10" s="2">
        <f>COUNTIF(逐条分析!M2:M13,"已有指引覆盖，不新增")</f>
        <v>0</v>
      </c>
      <c r="C10" s="2"/>
      <c r="D10" s="2"/>
      <c r="E10" s="2"/>
      <c r="F10" s="2"/>
    </row>
    <row r="11" spans="1:26" ht="15">
      <c r="A11" s="2" t="s">
        <v>15</v>
      </c>
      <c r="B11" s="2">
        <f>COUNTIF(逐条分析!P2:P13,"是")</f>
        <v>3</v>
      </c>
      <c r="C11" s="2"/>
      <c r="D11" s="2"/>
      <c r="E11" s="2"/>
      <c r="F11" s="2"/>
    </row>
    <row r="12" spans="1:26">
      <c r="A12" s="2"/>
      <c r="B12" s="2"/>
      <c r="C12" s="2"/>
      <c r="D12" s="2"/>
      <c r="E12" s="2"/>
      <c r="F12" s="2"/>
    </row>
    <row r="13" spans="1:26">
      <c r="A13" s="2"/>
      <c r="B13" s="2"/>
      <c r="C13" s="2"/>
      <c r="D13" s="2"/>
      <c r="E13" s="2"/>
      <c r="F13" s="2"/>
    </row>
    <row r="14" spans="1:26" ht="32">
      <c r="A14" s="1" t="s">
        <v>16</v>
      </c>
      <c r="B14" s="1" t="s">
        <v>17</v>
      </c>
      <c r="C14" s="1" t="s">
        <v>18</v>
      </c>
      <c r="D14" s="1" t="s">
        <v>19</v>
      </c>
      <c r="E14" s="1" t="s">
        <v>3</v>
      </c>
      <c r="F14" s="1" t="s">
        <v>20</v>
      </c>
    </row>
    <row r="15" spans="1:26" ht="75">
      <c r="A15" s="2" t="s">
        <v>21</v>
      </c>
      <c r="B15" s="2" t="s">
        <v>22</v>
      </c>
      <c r="C15" s="2" t="s">
        <v>23</v>
      </c>
      <c r="D15" s="2" t="s">
        <v>24</v>
      </c>
      <c r="E15" s="2" t="s">
        <v>9</v>
      </c>
      <c r="F15" s="2" t="s">
        <v>25</v>
      </c>
    </row>
    <row r="16" spans="1:26" ht="75">
      <c r="A16" s="2" t="s">
        <v>21</v>
      </c>
      <c r="B16" s="2" t="s">
        <v>26</v>
      </c>
      <c r="C16" s="2" t="s">
        <v>27</v>
      </c>
      <c r="D16" s="2" t="s">
        <v>28</v>
      </c>
      <c r="E16" s="2" t="s">
        <v>5</v>
      </c>
      <c r="F16" s="2" t="s">
        <v>29</v>
      </c>
    </row>
    <row r="17" spans="1:6" ht="75">
      <c r="A17" s="2" t="s">
        <v>21</v>
      </c>
      <c r="B17" s="2" t="s">
        <v>30</v>
      </c>
      <c r="C17" s="2" t="s">
        <v>31</v>
      </c>
      <c r="D17" s="2" t="s">
        <v>32</v>
      </c>
      <c r="E17" s="2" t="s">
        <v>7</v>
      </c>
      <c r="F17" s="2" t="s">
        <v>33</v>
      </c>
    </row>
    <row r="18" spans="1:6">
      <c r="A18" s="2"/>
      <c r="B18" s="2"/>
      <c r="C18" s="2"/>
      <c r="D18" s="2"/>
      <c r="E18" s="2"/>
      <c r="F18" s="2"/>
    </row>
    <row r="19" spans="1:6">
      <c r="A19" s="2"/>
      <c r="B19" s="2"/>
      <c r="C19" s="2"/>
      <c r="D19" s="2"/>
      <c r="E19" s="2"/>
      <c r="F19" s="2"/>
    </row>
    <row r="20" spans="1:6">
      <c r="A20" s="2"/>
      <c r="B20" s="2"/>
      <c r="C20" s="2"/>
      <c r="D20" s="2"/>
      <c r="E20" s="2"/>
      <c r="F20" s="2"/>
    </row>
  </sheetData>
  <mergeCells count="1">
    <mergeCell ref="A1:H1"/>
  </mergeCells>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3"/>
  <sheetViews>
    <sheetView tabSelected="1" topLeftCell="A9" workbookViewId="0">
      <selection activeCell="F11" sqref="F11"/>
    </sheetView>
  </sheetViews>
  <sheetFormatPr baseColWidth="10" defaultColWidth="8.83203125" defaultRowHeight="14"/>
  <cols>
    <col min="1" max="1" width="6" customWidth="1"/>
    <col min="2" max="2" width="17" customWidth="1"/>
    <col min="3" max="3" width="25" customWidth="1"/>
    <col min="4" max="4" width="48" customWidth="1"/>
    <col min="5" max="5" width="24" customWidth="1"/>
    <col min="6" max="6" width="50" customWidth="1"/>
    <col min="7" max="7" width="14" customWidth="1"/>
    <col min="8" max="9" width="20" customWidth="1"/>
    <col min="10" max="10" width="26" customWidth="1"/>
    <col min="11" max="11" width="28" customWidth="1"/>
    <col min="12" max="12" width="58" customWidth="1"/>
    <col min="13" max="13" width="18" customWidth="1"/>
    <col min="14" max="14" width="46" customWidth="1"/>
    <col min="15" max="15" width="58" customWidth="1"/>
    <col min="16" max="17" width="18" customWidth="1"/>
    <col min="18" max="18" width="36" customWidth="1"/>
    <col min="19" max="19" width="60" customWidth="1"/>
    <col min="20" max="20" width="24" customWidth="1"/>
  </cols>
  <sheetData>
    <row r="1" spans="1:26">
      <c r="A1" s="8" t="s">
        <v>34</v>
      </c>
      <c r="B1" s="8" t="s">
        <v>35</v>
      </c>
      <c r="C1" s="8" t="s">
        <v>36</v>
      </c>
      <c r="D1" s="8" t="s">
        <v>37</v>
      </c>
      <c r="E1" s="8" t="s">
        <v>38</v>
      </c>
      <c r="F1" s="8" t="s">
        <v>39</v>
      </c>
      <c r="G1" s="8" t="s">
        <v>3</v>
      </c>
      <c r="H1" s="8" t="s">
        <v>40</v>
      </c>
      <c r="I1" s="8" t="s">
        <v>41</v>
      </c>
      <c r="J1" s="8" t="s">
        <v>42</v>
      </c>
      <c r="K1" s="8" t="s">
        <v>43</v>
      </c>
      <c r="L1" s="8" t="s">
        <v>44</v>
      </c>
      <c r="M1" s="8" t="s">
        <v>45</v>
      </c>
      <c r="N1" s="8" t="s">
        <v>46</v>
      </c>
      <c r="O1" s="8" t="s">
        <v>47</v>
      </c>
      <c r="P1" s="8" t="s">
        <v>48</v>
      </c>
      <c r="Q1" s="8" t="s">
        <v>49</v>
      </c>
      <c r="R1" s="8" t="s">
        <v>50</v>
      </c>
      <c r="S1" s="8" t="s">
        <v>51</v>
      </c>
      <c r="T1" s="8" t="s">
        <v>52</v>
      </c>
      <c r="U1" s="7"/>
      <c r="V1" s="7"/>
      <c r="W1" s="7"/>
      <c r="X1" s="7"/>
      <c r="Y1" s="7"/>
      <c r="Z1" s="7"/>
    </row>
    <row r="2" spans="1:26" ht="180">
      <c r="A2" s="3">
        <v>1</v>
      </c>
      <c r="B2" s="4" t="s">
        <v>53</v>
      </c>
      <c r="C2" s="3" t="s">
        <v>54</v>
      </c>
      <c r="D2" s="3" t="s">
        <v>55</v>
      </c>
      <c r="E2" s="3" t="s">
        <v>56</v>
      </c>
      <c r="F2" s="3" t="s">
        <v>57</v>
      </c>
      <c r="G2" s="3" t="s">
        <v>5</v>
      </c>
      <c r="H2" s="3" t="s">
        <v>58</v>
      </c>
      <c r="I2" s="3" t="s">
        <v>59</v>
      </c>
      <c r="J2" s="3" t="s">
        <v>60</v>
      </c>
      <c r="K2" s="3" t="s">
        <v>61</v>
      </c>
      <c r="L2" s="3" t="s">
        <v>62</v>
      </c>
      <c r="M2" s="3" t="s">
        <v>10</v>
      </c>
      <c r="N2" s="3" t="s">
        <v>63</v>
      </c>
      <c r="O2" s="3" t="s">
        <v>64</v>
      </c>
      <c r="P2" s="3" t="s">
        <v>65</v>
      </c>
      <c r="Q2" s="3"/>
      <c r="R2" s="3" t="s">
        <v>66</v>
      </c>
      <c r="S2" s="3" t="s">
        <v>67</v>
      </c>
      <c r="T2" s="3"/>
    </row>
    <row r="3" spans="1:26" ht="165">
      <c r="A3" s="3">
        <v>2</v>
      </c>
      <c r="B3" s="4" t="s">
        <v>68</v>
      </c>
      <c r="C3" s="3" t="s">
        <v>69</v>
      </c>
      <c r="D3" s="3" t="s">
        <v>70</v>
      </c>
      <c r="E3" s="3" t="s">
        <v>56</v>
      </c>
      <c r="F3" s="3" t="s">
        <v>71</v>
      </c>
      <c r="G3" s="3" t="s">
        <v>7</v>
      </c>
      <c r="H3" s="3" t="s">
        <v>5</v>
      </c>
      <c r="I3" s="3" t="s">
        <v>72</v>
      </c>
      <c r="J3" s="3" t="s">
        <v>73</v>
      </c>
      <c r="K3" s="3" t="s">
        <v>74</v>
      </c>
      <c r="L3" s="3" t="s">
        <v>75</v>
      </c>
      <c r="M3" s="3" t="s">
        <v>10</v>
      </c>
      <c r="N3" s="3" t="s">
        <v>76</v>
      </c>
      <c r="O3" s="3" t="s">
        <v>77</v>
      </c>
      <c r="P3" s="3" t="s">
        <v>65</v>
      </c>
      <c r="Q3" s="3"/>
      <c r="R3" s="3" t="s">
        <v>78</v>
      </c>
      <c r="S3" s="3" t="s">
        <v>79</v>
      </c>
      <c r="T3" s="3"/>
    </row>
    <row r="4" spans="1:26" ht="180">
      <c r="A4" s="3">
        <v>3</v>
      </c>
      <c r="B4" s="4" t="s">
        <v>80</v>
      </c>
      <c r="C4" s="3" t="s">
        <v>81</v>
      </c>
      <c r="D4" s="3" t="s">
        <v>82</v>
      </c>
      <c r="E4" s="3" t="s">
        <v>83</v>
      </c>
      <c r="F4" s="3" t="s">
        <v>84</v>
      </c>
      <c r="G4" s="3" t="s">
        <v>11</v>
      </c>
      <c r="H4" s="3" t="s">
        <v>85</v>
      </c>
      <c r="I4" s="3" t="s">
        <v>86</v>
      </c>
      <c r="J4" s="3" t="s">
        <v>87</v>
      </c>
      <c r="K4" s="3" t="s">
        <v>88</v>
      </c>
      <c r="L4" s="3" t="s">
        <v>89</v>
      </c>
      <c r="M4" s="3" t="s">
        <v>10</v>
      </c>
      <c r="N4" s="3" t="s">
        <v>90</v>
      </c>
      <c r="O4" s="3" t="s">
        <v>91</v>
      </c>
      <c r="P4" s="3" t="s">
        <v>65</v>
      </c>
      <c r="Q4" s="3"/>
      <c r="R4" s="3" t="s">
        <v>92</v>
      </c>
      <c r="S4" s="3" t="s">
        <v>93</v>
      </c>
      <c r="T4" s="3"/>
    </row>
    <row r="5" spans="1:26" ht="90">
      <c r="A5" s="3">
        <v>4</v>
      </c>
      <c r="B5" s="4" t="s">
        <v>24</v>
      </c>
      <c r="C5" s="3" t="s">
        <v>94</v>
      </c>
      <c r="D5" s="3" t="s">
        <v>95</v>
      </c>
      <c r="E5" s="3" t="s">
        <v>56</v>
      </c>
      <c r="F5" s="3" t="s">
        <v>96</v>
      </c>
      <c r="G5" s="3" t="s">
        <v>9</v>
      </c>
      <c r="H5" s="3" t="s">
        <v>97</v>
      </c>
      <c r="I5" s="3" t="s">
        <v>98</v>
      </c>
      <c r="J5" s="3" t="s">
        <v>99</v>
      </c>
      <c r="K5" s="3" t="s">
        <v>100</v>
      </c>
      <c r="L5" s="3" t="s">
        <v>101</v>
      </c>
      <c r="M5" s="3" t="s">
        <v>12</v>
      </c>
      <c r="N5" s="3" t="s">
        <v>102</v>
      </c>
      <c r="O5" s="3" t="s">
        <v>103</v>
      </c>
      <c r="P5" s="3" t="s">
        <v>104</v>
      </c>
      <c r="Q5" s="3" t="s">
        <v>22</v>
      </c>
      <c r="R5" s="3" t="s">
        <v>23</v>
      </c>
      <c r="S5" s="3" t="s">
        <v>105</v>
      </c>
      <c r="T5" s="3"/>
    </row>
    <row r="6" spans="1:26" ht="180">
      <c r="A6" s="3">
        <v>5</v>
      </c>
      <c r="B6" s="4" t="s">
        <v>106</v>
      </c>
      <c r="C6" s="3" t="s">
        <v>107</v>
      </c>
      <c r="D6" s="3" t="s">
        <v>108</v>
      </c>
      <c r="E6" s="3" t="s">
        <v>109</v>
      </c>
      <c r="F6" s="3" t="s">
        <v>110</v>
      </c>
      <c r="G6" s="3" t="s">
        <v>5</v>
      </c>
      <c r="H6" s="3" t="s">
        <v>111</v>
      </c>
      <c r="I6" s="3" t="s">
        <v>112</v>
      </c>
      <c r="J6" s="3" t="s">
        <v>113</v>
      </c>
      <c r="K6" s="3" t="s">
        <v>114</v>
      </c>
      <c r="L6" s="3" t="s">
        <v>115</v>
      </c>
      <c r="M6" s="3" t="s">
        <v>10</v>
      </c>
      <c r="N6" s="3" t="s">
        <v>116</v>
      </c>
      <c r="O6" s="3" t="s">
        <v>117</v>
      </c>
      <c r="P6" s="3" t="s">
        <v>65</v>
      </c>
      <c r="Q6" s="3"/>
      <c r="R6" s="3" t="s">
        <v>118</v>
      </c>
      <c r="S6" s="3" t="s">
        <v>119</v>
      </c>
      <c r="T6" s="3" t="s">
        <v>109</v>
      </c>
    </row>
    <row r="7" spans="1:26" ht="180">
      <c r="A7" s="3">
        <v>6</v>
      </c>
      <c r="B7" s="4" t="s">
        <v>120</v>
      </c>
      <c r="C7" s="3" t="s">
        <v>107</v>
      </c>
      <c r="D7" s="3" t="s">
        <v>121</v>
      </c>
      <c r="E7" s="3" t="s">
        <v>56</v>
      </c>
      <c r="F7" s="3" t="s">
        <v>122</v>
      </c>
      <c r="G7" s="3" t="s">
        <v>5</v>
      </c>
      <c r="H7" s="3" t="s">
        <v>123</v>
      </c>
      <c r="I7" s="3" t="s">
        <v>124</v>
      </c>
      <c r="J7" s="3" t="s">
        <v>125</v>
      </c>
      <c r="K7" s="3" t="s">
        <v>126</v>
      </c>
      <c r="L7" s="3" t="s">
        <v>127</v>
      </c>
      <c r="M7" s="3" t="s">
        <v>10</v>
      </c>
      <c r="N7" s="3" t="s">
        <v>128</v>
      </c>
      <c r="O7" s="3" t="s">
        <v>129</v>
      </c>
      <c r="P7" s="3" t="s">
        <v>65</v>
      </c>
      <c r="Q7" s="3"/>
      <c r="R7" s="3" t="s">
        <v>130</v>
      </c>
      <c r="S7" s="3" t="s">
        <v>131</v>
      </c>
      <c r="T7" s="3"/>
    </row>
    <row r="8" spans="1:26" ht="180">
      <c r="A8" s="3">
        <v>7</v>
      </c>
      <c r="B8" s="4" t="s">
        <v>132</v>
      </c>
      <c r="C8" s="3" t="s">
        <v>107</v>
      </c>
      <c r="D8" s="3" t="s">
        <v>133</v>
      </c>
      <c r="E8" s="3" t="s">
        <v>56</v>
      </c>
      <c r="F8" s="3" t="s">
        <v>134</v>
      </c>
      <c r="G8" s="3" t="s">
        <v>5</v>
      </c>
      <c r="H8" s="3" t="s">
        <v>135</v>
      </c>
      <c r="I8" s="3" t="s">
        <v>136</v>
      </c>
      <c r="J8" s="3" t="s">
        <v>137</v>
      </c>
      <c r="K8" s="3" t="s">
        <v>138</v>
      </c>
      <c r="L8" s="3" t="s">
        <v>139</v>
      </c>
      <c r="M8" s="3" t="s">
        <v>10</v>
      </c>
      <c r="N8" s="3" t="s">
        <v>140</v>
      </c>
      <c r="O8" s="3" t="s">
        <v>141</v>
      </c>
      <c r="P8" s="3" t="s">
        <v>65</v>
      </c>
      <c r="Q8" s="3"/>
      <c r="R8" s="3" t="s">
        <v>142</v>
      </c>
      <c r="S8" s="3" t="s">
        <v>143</v>
      </c>
      <c r="T8" s="3"/>
    </row>
    <row r="9" spans="1:26" ht="195">
      <c r="A9" s="3">
        <v>8</v>
      </c>
      <c r="B9" s="4" t="s">
        <v>144</v>
      </c>
      <c r="C9" s="3" t="s">
        <v>107</v>
      </c>
      <c r="D9" s="3" t="s">
        <v>145</v>
      </c>
      <c r="E9" s="3" t="s">
        <v>56</v>
      </c>
      <c r="F9" s="3" t="s">
        <v>146</v>
      </c>
      <c r="G9" s="3" t="s">
        <v>5</v>
      </c>
      <c r="H9" s="3" t="s">
        <v>147</v>
      </c>
      <c r="I9" s="3" t="s">
        <v>148</v>
      </c>
      <c r="J9" s="3" t="s">
        <v>149</v>
      </c>
      <c r="K9" s="3" t="s">
        <v>150</v>
      </c>
      <c r="L9" s="3" t="s">
        <v>151</v>
      </c>
      <c r="M9" s="3" t="s">
        <v>12</v>
      </c>
      <c r="N9" s="3" t="s">
        <v>152</v>
      </c>
      <c r="O9" s="3" t="s">
        <v>153</v>
      </c>
      <c r="P9" s="3" t="s">
        <v>104</v>
      </c>
      <c r="Q9" s="3" t="s">
        <v>26</v>
      </c>
      <c r="R9" s="3" t="s">
        <v>27</v>
      </c>
      <c r="S9" s="3" t="s">
        <v>154</v>
      </c>
      <c r="T9" s="3"/>
    </row>
    <row r="10" spans="1:26" ht="165">
      <c r="A10" s="3">
        <v>9</v>
      </c>
      <c r="B10" s="4" t="s">
        <v>155</v>
      </c>
      <c r="C10" s="3" t="s">
        <v>156</v>
      </c>
      <c r="D10" s="3" t="s">
        <v>157</v>
      </c>
      <c r="E10" s="3" t="s">
        <v>109</v>
      </c>
      <c r="F10" s="3" t="s">
        <v>158</v>
      </c>
      <c r="G10" s="3" t="s">
        <v>7</v>
      </c>
      <c r="H10" s="3" t="s">
        <v>159</v>
      </c>
      <c r="I10" s="3" t="s">
        <v>160</v>
      </c>
      <c r="J10" s="3" t="s">
        <v>161</v>
      </c>
      <c r="K10" s="3" t="s">
        <v>162</v>
      </c>
      <c r="L10" s="3" t="s">
        <v>163</v>
      </c>
      <c r="M10" s="3" t="s">
        <v>10</v>
      </c>
      <c r="N10" s="3" t="s">
        <v>164</v>
      </c>
      <c r="O10" s="3" t="s">
        <v>165</v>
      </c>
      <c r="P10" s="3" t="s">
        <v>65</v>
      </c>
      <c r="Q10" s="3"/>
      <c r="R10" s="3" t="s">
        <v>166</v>
      </c>
      <c r="S10" s="3" t="s">
        <v>167</v>
      </c>
      <c r="T10" s="3"/>
    </row>
    <row r="11" spans="1:26" ht="135">
      <c r="A11" s="3">
        <v>10</v>
      </c>
      <c r="B11" s="4" t="s">
        <v>168</v>
      </c>
      <c r="C11" s="3" t="s">
        <v>156</v>
      </c>
      <c r="D11" s="3" t="s">
        <v>169</v>
      </c>
      <c r="E11" s="3" t="s">
        <v>56</v>
      </c>
      <c r="F11" s="3" t="s">
        <v>170</v>
      </c>
      <c r="G11" s="3" t="s">
        <v>5</v>
      </c>
      <c r="H11" s="3" t="s">
        <v>171</v>
      </c>
      <c r="I11" s="3" t="s">
        <v>172</v>
      </c>
      <c r="J11" s="3" t="s">
        <v>173</v>
      </c>
      <c r="K11" s="3" t="s">
        <v>174</v>
      </c>
      <c r="L11" s="3" t="s">
        <v>175</v>
      </c>
      <c r="M11" s="3" t="s">
        <v>10</v>
      </c>
      <c r="N11" s="3" t="s">
        <v>176</v>
      </c>
      <c r="O11" s="3" t="s">
        <v>177</v>
      </c>
      <c r="P11" s="3" t="s">
        <v>65</v>
      </c>
      <c r="Q11" s="3"/>
      <c r="R11" s="3" t="s">
        <v>178</v>
      </c>
      <c r="S11" s="3" t="s">
        <v>179</v>
      </c>
      <c r="T11" s="3"/>
    </row>
    <row r="12" spans="1:26" ht="120">
      <c r="A12" s="3">
        <v>11</v>
      </c>
      <c r="B12" s="4" t="s">
        <v>32</v>
      </c>
      <c r="C12" s="3" t="s">
        <v>156</v>
      </c>
      <c r="D12" s="3" t="s">
        <v>180</v>
      </c>
      <c r="E12" s="3" t="s">
        <v>56</v>
      </c>
      <c r="F12" s="3" t="s">
        <v>181</v>
      </c>
      <c r="G12" s="3" t="s">
        <v>7</v>
      </c>
      <c r="H12" s="3" t="s">
        <v>182</v>
      </c>
      <c r="I12" s="3" t="s">
        <v>183</v>
      </c>
      <c r="J12" s="3" t="s">
        <v>184</v>
      </c>
      <c r="K12" s="3" t="s">
        <v>185</v>
      </c>
      <c r="L12" s="3" t="s">
        <v>186</v>
      </c>
      <c r="M12" s="3" t="s">
        <v>12</v>
      </c>
      <c r="N12" s="3" t="s">
        <v>187</v>
      </c>
      <c r="O12" s="3" t="s">
        <v>188</v>
      </c>
      <c r="P12" s="3" t="s">
        <v>104</v>
      </c>
      <c r="Q12" s="3" t="s">
        <v>30</v>
      </c>
      <c r="R12" s="3" t="s">
        <v>31</v>
      </c>
      <c r="S12" s="3" t="s">
        <v>189</v>
      </c>
      <c r="T12" s="3"/>
    </row>
    <row r="13" spans="1:26" ht="180">
      <c r="A13" s="3">
        <v>12</v>
      </c>
      <c r="B13" s="4" t="s">
        <v>190</v>
      </c>
      <c r="C13" s="3" t="s">
        <v>191</v>
      </c>
      <c r="D13" s="3" t="s">
        <v>192</v>
      </c>
      <c r="E13" s="3" t="s">
        <v>193</v>
      </c>
      <c r="F13" s="3" t="s">
        <v>194</v>
      </c>
      <c r="G13" s="3" t="s">
        <v>5</v>
      </c>
      <c r="H13" s="3" t="s">
        <v>195</v>
      </c>
      <c r="I13" s="3" t="s">
        <v>196</v>
      </c>
      <c r="J13" s="3" t="s">
        <v>197</v>
      </c>
      <c r="K13" s="3" t="s">
        <v>198</v>
      </c>
      <c r="L13" s="3" t="s">
        <v>199</v>
      </c>
      <c r="M13" s="3" t="s">
        <v>10</v>
      </c>
      <c r="N13" s="3" t="s">
        <v>200</v>
      </c>
      <c r="O13" s="3" t="s">
        <v>201</v>
      </c>
      <c r="P13" s="3" t="s">
        <v>65</v>
      </c>
      <c r="Q13" s="3"/>
      <c r="R13" s="3" t="s">
        <v>202</v>
      </c>
      <c r="S13" s="3" t="s">
        <v>203</v>
      </c>
      <c r="T13" s="3" t="s">
        <v>193</v>
      </c>
    </row>
  </sheetData>
  <phoneticPr fontId="5" type="noConversion"/>
  <conditionalFormatting sqref="M2:M13">
    <cfRule type="expression" dxfId="4" priority="1">
      <formula>ISNUMBER(SEARCH("违反已有",M2))</formula>
    </cfRule>
    <cfRule type="expression" dxfId="3" priority="2">
      <formula>ISNUMBER(SEARCH("部分覆盖",M2))</formula>
    </cfRule>
    <cfRule type="expression" dxfId="2" priority="3">
      <formula>ISNUMBER(SEARCH("未覆盖",M2))</formula>
    </cfRule>
    <cfRule type="expression" dxfId="1" priority="4">
      <formula>ISNUMBER(SEARCH("已有指引覆盖",M2))</formula>
    </cfRule>
  </conditionalFormatting>
  <conditionalFormatting sqref="P2:P13">
    <cfRule type="expression" dxfId="0" priority="5">
      <formula>P2="是"</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
  <sheetViews>
    <sheetView workbookViewId="0">
      <selection activeCell="F18" sqref="F18"/>
    </sheetView>
  </sheetViews>
  <sheetFormatPr baseColWidth="10" defaultColWidth="8.83203125" defaultRowHeight="14"/>
  <cols>
    <col min="1" max="1" width="18" customWidth="1"/>
    <col min="2" max="2" width="40" customWidth="1"/>
    <col min="3" max="3" width="12" customWidth="1"/>
    <col min="4" max="4" width="14" customWidth="1"/>
    <col min="5" max="5" width="22" customWidth="1"/>
    <col min="6" max="6" width="28" customWidth="1"/>
    <col min="7" max="7" width="32" customWidth="1"/>
    <col min="8" max="8" width="48" customWidth="1"/>
    <col min="9" max="9" width="62" customWidth="1"/>
    <col min="10" max="10" width="60" customWidth="1"/>
    <col min="11" max="11" width="10" customWidth="1"/>
    <col min="12" max="12" width="30" customWidth="1"/>
  </cols>
  <sheetData>
    <row r="1" spans="1:26">
      <c r="A1" s="8" t="s">
        <v>204</v>
      </c>
      <c r="B1" s="8" t="s">
        <v>18</v>
      </c>
      <c r="C1" s="8" t="s">
        <v>205</v>
      </c>
      <c r="D1" s="8" t="s">
        <v>3</v>
      </c>
      <c r="E1" s="8" t="s">
        <v>41</v>
      </c>
      <c r="F1" s="8" t="s">
        <v>42</v>
      </c>
      <c r="G1" s="8" t="s">
        <v>19</v>
      </c>
      <c r="H1" s="8" t="s">
        <v>206</v>
      </c>
      <c r="I1" s="8" t="s">
        <v>207</v>
      </c>
      <c r="J1" s="8" t="s">
        <v>208</v>
      </c>
      <c r="K1" s="8" t="s">
        <v>16</v>
      </c>
      <c r="L1" s="8" t="s">
        <v>209</v>
      </c>
      <c r="M1" s="7"/>
      <c r="N1" s="7"/>
      <c r="O1" s="7"/>
      <c r="P1" s="7"/>
      <c r="Q1" s="7"/>
      <c r="R1" s="7"/>
      <c r="S1" s="7"/>
      <c r="T1" s="7"/>
      <c r="U1" s="7"/>
      <c r="V1" s="7"/>
      <c r="W1" s="7"/>
      <c r="X1" s="7"/>
      <c r="Y1" s="7"/>
      <c r="Z1" s="7"/>
    </row>
    <row r="2" spans="1:26" ht="45">
      <c r="A2" s="4" t="s">
        <v>22</v>
      </c>
      <c r="B2" s="3" t="s">
        <v>23</v>
      </c>
      <c r="C2" s="3" t="s">
        <v>210</v>
      </c>
      <c r="D2" s="3" t="s">
        <v>9</v>
      </c>
      <c r="E2" s="3" t="s">
        <v>98</v>
      </c>
      <c r="F2" s="3" t="s">
        <v>99</v>
      </c>
      <c r="G2" s="3" t="s">
        <v>24</v>
      </c>
      <c r="H2" s="3" t="s">
        <v>25</v>
      </c>
      <c r="I2" s="3" t="s">
        <v>211</v>
      </c>
      <c r="J2" s="3" t="s">
        <v>212</v>
      </c>
      <c r="K2" s="3" t="s">
        <v>21</v>
      </c>
      <c r="L2" s="3" t="s">
        <v>213</v>
      </c>
    </row>
    <row r="3" spans="1:26" ht="45">
      <c r="A3" s="4" t="s">
        <v>26</v>
      </c>
      <c r="B3" s="3" t="s">
        <v>27</v>
      </c>
      <c r="C3" s="3" t="s">
        <v>214</v>
      </c>
      <c r="D3" s="3" t="s">
        <v>5</v>
      </c>
      <c r="E3" s="3" t="s">
        <v>148</v>
      </c>
      <c r="F3" s="3" t="s">
        <v>215</v>
      </c>
      <c r="G3" s="3" t="s">
        <v>28</v>
      </c>
      <c r="H3" s="3" t="s">
        <v>29</v>
      </c>
      <c r="I3" s="3" t="s">
        <v>216</v>
      </c>
      <c r="J3" s="3" t="s">
        <v>217</v>
      </c>
      <c r="K3" s="3" t="s">
        <v>21</v>
      </c>
      <c r="L3" s="3" t="s">
        <v>218</v>
      </c>
    </row>
    <row r="4" spans="1:26" ht="45">
      <c r="A4" s="4" t="s">
        <v>30</v>
      </c>
      <c r="B4" s="3" t="s">
        <v>31</v>
      </c>
      <c r="C4" s="3" t="s">
        <v>210</v>
      </c>
      <c r="D4" s="3" t="s">
        <v>7</v>
      </c>
      <c r="E4" s="3" t="s">
        <v>183</v>
      </c>
      <c r="F4" s="3" t="s">
        <v>219</v>
      </c>
      <c r="G4" s="3" t="s">
        <v>32</v>
      </c>
      <c r="H4" s="3" t="s">
        <v>33</v>
      </c>
      <c r="I4" s="3" t="s">
        <v>220</v>
      </c>
      <c r="J4" s="3" t="s">
        <v>221</v>
      </c>
      <c r="K4" s="3" t="s">
        <v>21</v>
      </c>
      <c r="L4" s="3" t="s">
        <v>222</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4"/>
  <sheetViews>
    <sheetView workbookViewId="0"/>
  </sheetViews>
  <sheetFormatPr baseColWidth="10" defaultColWidth="8.83203125" defaultRowHeight="14"/>
  <cols>
    <col min="1" max="1" width="18" customWidth="1"/>
    <col min="2" max="2" width="24" customWidth="1"/>
    <col min="3" max="3" width="90" customWidth="1"/>
  </cols>
  <sheetData>
    <row r="1" spans="1:26">
      <c r="A1" s="6" t="s">
        <v>223</v>
      </c>
      <c r="B1" s="6" t="s">
        <v>224</v>
      </c>
      <c r="C1" s="6" t="s">
        <v>20</v>
      </c>
      <c r="D1" s="7"/>
      <c r="E1" s="7"/>
      <c r="F1" s="7"/>
      <c r="G1" s="7"/>
      <c r="H1" s="7"/>
      <c r="I1" s="7"/>
      <c r="J1" s="7"/>
      <c r="K1" s="7"/>
      <c r="L1" s="7"/>
      <c r="M1" s="7"/>
      <c r="N1" s="7"/>
      <c r="O1" s="7"/>
      <c r="P1" s="7"/>
      <c r="Q1" s="7"/>
      <c r="R1" s="7"/>
      <c r="S1" s="7"/>
      <c r="T1" s="7"/>
      <c r="U1" s="7"/>
      <c r="V1" s="7"/>
      <c r="W1" s="7"/>
      <c r="X1" s="7"/>
      <c r="Y1" s="7"/>
      <c r="Z1" s="7"/>
    </row>
    <row r="2" spans="1:26" ht="15">
      <c r="A2" s="2" t="s">
        <v>225</v>
      </c>
      <c r="B2" s="2" t="s">
        <v>226</v>
      </c>
      <c r="C2" s="2" t="s">
        <v>227</v>
      </c>
    </row>
    <row r="3" spans="1:26" ht="15">
      <c r="A3" s="2" t="s">
        <v>225</v>
      </c>
      <c r="B3" s="2" t="s">
        <v>228</v>
      </c>
      <c r="C3" s="2" t="s">
        <v>229</v>
      </c>
    </row>
    <row r="4" spans="1:26" ht="15">
      <c r="A4" s="2" t="s">
        <v>230</v>
      </c>
      <c r="B4" s="2" t="s">
        <v>5</v>
      </c>
      <c r="C4" s="2" t="s">
        <v>231</v>
      </c>
    </row>
    <row r="5" spans="1:26" ht="15">
      <c r="A5" s="2" t="s">
        <v>230</v>
      </c>
      <c r="B5" s="2" t="s">
        <v>7</v>
      </c>
      <c r="C5" s="2" t="s">
        <v>232</v>
      </c>
    </row>
    <row r="6" spans="1:26" ht="15">
      <c r="A6" s="2" t="s">
        <v>230</v>
      </c>
      <c r="B6" s="2" t="s">
        <v>9</v>
      </c>
      <c r="C6" s="2" t="s">
        <v>233</v>
      </c>
    </row>
    <row r="7" spans="1:26" ht="15">
      <c r="A7" s="2" t="s">
        <v>230</v>
      </c>
      <c r="B7" s="2" t="s">
        <v>11</v>
      </c>
      <c r="C7" s="2" t="s">
        <v>234</v>
      </c>
    </row>
    <row r="8" spans="1:26" ht="15">
      <c r="A8" s="2" t="s">
        <v>230</v>
      </c>
      <c r="B8" s="2" t="s">
        <v>235</v>
      </c>
      <c r="C8" s="2" t="s">
        <v>236</v>
      </c>
    </row>
    <row r="9" spans="1:26" ht="15">
      <c r="A9" s="2" t="s">
        <v>230</v>
      </c>
      <c r="B9" s="2" t="s">
        <v>237</v>
      </c>
      <c r="C9" s="2" t="s">
        <v>238</v>
      </c>
    </row>
    <row r="10" spans="1:26" ht="15">
      <c r="A10" s="2" t="s">
        <v>239</v>
      </c>
      <c r="B10" s="2" t="s">
        <v>240</v>
      </c>
      <c r="C10" s="2" t="s">
        <v>241</v>
      </c>
    </row>
    <row r="11" spans="1:26" ht="15">
      <c r="A11" s="2" t="s">
        <v>239</v>
      </c>
      <c r="B11" s="2" t="s">
        <v>242</v>
      </c>
      <c r="C11" s="2" t="s">
        <v>243</v>
      </c>
    </row>
    <row r="12" spans="1:26" ht="15">
      <c r="A12" s="2" t="s">
        <v>239</v>
      </c>
      <c r="B12" s="2" t="s">
        <v>244</v>
      </c>
      <c r="C12" s="2" t="s">
        <v>245</v>
      </c>
    </row>
    <row r="13" spans="1:26" ht="15">
      <c r="A13" s="2" t="s">
        <v>239</v>
      </c>
      <c r="B13" s="2" t="s">
        <v>246</v>
      </c>
      <c r="C13" s="2" t="s">
        <v>247</v>
      </c>
    </row>
    <row r="14" spans="1:26" ht="15">
      <c r="A14" s="2" t="s">
        <v>239</v>
      </c>
      <c r="B14" s="2" t="s">
        <v>59</v>
      </c>
      <c r="C14" s="2" t="s">
        <v>248</v>
      </c>
    </row>
    <row r="15" spans="1:26" ht="15">
      <c r="A15" s="2" t="s">
        <v>239</v>
      </c>
      <c r="B15" s="2" t="s">
        <v>148</v>
      </c>
      <c r="C15" s="2" t="s">
        <v>249</v>
      </c>
    </row>
    <row r="16" spans="1:26" ht="15">
      <c r="A16" s="2" t="s">
        <v>250</v>
      </c>
      <c r="B16" s="2" t="s">
        <v>251</v>
      </c>
      <c r="C16" s="2" t="s">
        <v>252</v>
      </c>
    </row>
    <row r="17" spans="1:3" ht="15">
      <c r="A17" s="2" t="s">
        <v>250</v>
      </c>
      <c r="B17" s="2" t="s">
        <v>253</v>
      </c>
      <c r="C17" s="2" t="s">
        <v>254</v>
      </c>
    </row>
    <row r="18" spans="1:3" ht="15">
      <c r="A18" s="2" t="s">
        <v>250</v>
      </c>
      <c r="B18" s="2" t="s">
        <v>255</v>
      </c>
      <c r="C18" s="2" t="s">
        <v>256</v>
      </c>
    </row>
    <row r="19" spans="1:3" ht="15">
      <c r="A19" s="2" t="s">
        <v>250</v>
      </c>
      <c r="B19" s="2" t="s">
        <v>257</v>
      </c>
      <c r="C19" s="2" t="s">
        <v>258</v>
      </c>
    </row>
    <row r="20" spans="1:3" ht="15">
      <c r="A20" s="2" t="s">
        <v>250</v>
      </c>
      <c r="B20" s="2" t="s">
        <v>259</v>
      </c>
      <c r="C20" s="2" t="s">
        <v>260</v>
      </c>
    </row>
    <row r="21" spans="1:3" ht="15">
      <c r="A21" s="2" t="s">
        <v>250</v>
      </c>
      <c r="B21" s="2" t="s">
        <v>261</v>
      </c>
      <c r="C21" s="2" t="s">
        <v>262</v>
      </c>
    </row>
    <row r="22" spans="1:3" ht="15">
      <c r="A22" s="2" t="s">
        <v>250</v>
      </c>
      <c r="B22" s="2" t="s">
        <v>263</v>
      </c>
      <c r="C22" s="2" t="s">
        <v>264</v>
      </c>
    </row>
    <row r="23" spans="1:3" ht="15">
      <c r="A23" s="2" t="s">
        <v>250</v>
      </c>
      <c r="B23" s="2" t="s">
        <v>265</v>
      </c>
      <c r="C23" s="2" t="s">
        <v>266</v>
      </c>
    </row>
    <row r="24" spans="1:3" ht="15">
      <c r="A24" s="2" t="s">
        <v>250</v>
      </c>
      <c r="B24" s="2" t="s">
        <v>267</v>
      </c>
      <c r="C24" s="2" t="s">
        <v>268</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1"/>
  <sheetViews>
    <sheetView workbookViewId="0"/>
  </sheetViews>
  <sheetFormatPr baseColWidth="10" defaultColWidth="8.83203125" defaultRowHeight="14"/>
  <cols>
    <col min="1" max="1" width="6" customWidth="1"/>
    <col min="2" max="2" width="17" customWidth="1"/>
    <col min="3" max="3" width="25" customWidth="1"/>
    <col min="4" max="4" width="50" customWidth="1"/>
    <col min="5" max="5" width="24" customWidth="1"/>
    <col min="6" max="6" width="60" customWidth="1"/>
    <col min="7" max="7" width="50" customWidth="1"/>
  </cols>
  <sheetData>
    <row r="1" spans="1:26">
      <c r="A1" s="6" t="s">
        <v>34</v>
      </c>
      <c r="B1" s="6" t="s">
        <v>35</v>
      </c>
      <c r="C1" s="6" t="s">
        <v>36</v>
      </c>
      <c r="D1" s="6" t="s">
        <v>37</v>
      </c>
      <c r="E1" s="6" t="s">
        <v>38</v>
      </c>
      <c r="F1" s="6" t="s">
        <v>39</v>
      </c>
      <c r="G1" s="6" t="s">
        <v>269</v>
      </c>
      <c r="H1" s="7"/>
      <c r="I1" s="7"/>
      <c r="J1" s="7"/>
      <c r="K1" s="7"/>
      <c r="L1" s="7"/>
      <c r="M1" s="7"/>
      <c r="N1" s="7"/>
      <c r="O1" s="7"/>
      <c r="P1" s="7"/>
      <c r="Q1" s="7"/>
      <c r="R1" s="7"/>
      <c r="S1" s="7"/>
      <c r="T1" s="7"/>
      <c r="U1" s="7"/>
      <c r="V1" s="7"/>
      <c r="W1" s="7"/>
      <c r="X1" s="7"/>
      <c r="Y1" s="7"/>
      <c r="Z1" s="7"/>
    </row>
    <row r="2" spans="1:26" ht="45">
      <c r="A2" s="2">
        <v>1</v>
      </c>
      <c r="B2" s="5" t="s">
        <v>270</v>
      </c>
      <c r="C2" s="2" t="s">
        <v>156</v>
      </c>
      <c r="D2" s="2" t="s">
        <v>271</v>
      </c>
      <c r="E2" s="2" t="s">
        <v>272</v>
      </c>
      <c r="F2" s="2" t="s">
        <v>273</v>
      </c>
      <c r="G2" s="2" t="s">
        <v>274</v>
      </c>
    </row>
    <row r="3" spans="1:26" ht="45">
      <c r="A3" s="2">
        <v>2</v>
      </c>
      <c r="B3" s="5" t="s">
        <v>275</v>
      </c>
      <c r="C3" s="2" t="s">
        <v>276</v>
      </c>
      <c r="D3" s="2" t="s">
        <v>277</v>
      </c>
      <c r="E3" s="2" t="s">
        <v>278</v>
      </c>
      <c r="F3" s="2" t="s">
        <v>279</v>
      </c>
      <c r="G3" s="2" t="s">
        <v>274</v>
      </c>
    </row>
    <row r="4" spans="1:26" ht="45">
      <c r="A4" s="2">
        <v>3</v>
      </c>
      <c r="B4" s="5" t="s">
        <v>280</v>
      </c>
      <c r="C4" s="2" t="s">
        <v>81</v>
      </c>
      <c r="D4" s="2" t="s">
        <v>281</v>
      </c>
      <c r="E4" s="2" t="s">
        <v>278</v>
      </c>
      <c r="F4" s="2" t="s">
        <v>282</v>
      </c>
      <c r="G4" s="2" t="s">
        <v>274</v>
      </c>
    </row>
    <row r="5" spans="1:26" ht="45">
      <c r="A5" s="2">
        <v>4</v>
      </c>
      <c r="B5" s="5" t="s">
        <v>283</v>
      </c>
      <c r="C5" s="2" t="s">
        <v>276</v>
      </c>
      <c r="D5" s="2" t="s">
        <v>284</v>
      </c>
      <c r="E5" s="2" t="s">
        <v>285</v>
      </c>
      <c r="F5" s="2" t="s">
        <v>286</v>
      </c>
      <c r="G5" s="2" t="s">
        <v>274</v>
      </c>
    </row>
    <row r="6" spans="1:26" ht="45">
      <c r="A6" s="2">
        <v>5</v>
      </c>
      <c r="B6" s="5" t="s">
        <v>287</v>
      </c>
      <c r="C6" s="2" t="s">
        <v>288</v>
      </c>
      <c r="D6" s="2" t="s">
        <v>289</v>
      </c>
      <c r="E6" s="2" t="s">
        <v>278</v>
      </c>
      <c r="F6" s="2" t="s">
        <v>290</v>
      </c>
      <c r="G6" s="2" t="s">
        <v>274</v>
      </c>
    </row>
    <row r="7" spans="1:26" ht="30">
      <c r="A7" s="2">
        <v>6</v>
      </c>
      <c r="B7" s="5" t="s">
        <v>291</v>
      </c>
      <c r="C7" s="2" t="s">
        <v>81</v>
      </c>
      <c r="D7" s="2" t="s">
        <v>292</v>
      </c>
      <c r="E7" s="2" t="s">
        <v>278</v>
      </c>
      <c r="F7" s="2" t="s">
        <v>293</v>
      </c>
      <c r="G7" s="2" t="s">
        <v>274</v>
      </c>
    </row>
    <row r="8" spans="1:26" ht="45">
      <c r="A8" s="2">
        <v>7</v>
      </c>
      <c r="B8" s="5" t="s">
        <v>294</v>
      </c>
      <c r="C8" s="2" t="s">
        <v>107</v>
      </c>
      <c r="D8" s="2" t="s">
        <v>295</v>
      </c>
      <c r="E8" s="2" t="s">
        <v>296</v>
      </c>
      <c r="F8" s="2" t="s">
        <v>297</v>
      </c>
      <c r="G8" s="2" t="s">
        <v>274</v>
      </c>
    </row>
    <row r="9" spans="1:26" ht="30">
      <c r="A9" s="2">
        <v>8</v>
      </c>
      <c r="B9" s="5" t="s">
        <v>298</v>
      </c>
      <c r="C9" s="2" t="s">
        <v>288</v>
      </c>
      <c r="D9" s="2" t="s">
        <v>299</v>
      </c>
      <c r="E9" s="2" t="s">
        <v>278</v>
      </c>
      <c r="F9" s="2" t="s">
        <v>300</v>
      </c>
      <c r="G9" s="2" t="s">
        <v>274</v>
      </c>
    </row>
    <row r="10" spans="1:26" ht="30">
      <c r="A10" s="2">
        <v>9</v>
      </c>
      <c r="B10" s="5" t="s">
        <v>301</v>
      </c>
      <c r="C10" s="2" t="s">
        <v>276</v>
      </c>
      <c r="D10" s="2" t="s">
        <v>302</v>
      </c>
      <c r="E10" s="2" t="s">
        <v>278</v>
      </c>
      <c r="F10" s="2" t="s">
        <v>303</v>
      </c>
      <c r="G10" s="2" t="s">
        <v>274</v>
      </c>
    </row>
    <row r="11" spans="1:26" ht="30">
      <c r="A11" s="2">
        <v>10</v>
      </c>
      <c r="B11" s="5" t="s">
        <v>304</v>
      </c>
      <c r="C11" s="2" t="s">
        <v>276</v>
      </c>
      <c r="D11" s="2" t="s">
        <v>305</v>
      </c>
      <c r="E11" s="2" t="s">
        <v>278</v>
      </c>
      <c r="F11" s="2" t="s">
        <v>306</v>
      </c>
      <c r="G11" s="2" t="s">
        <v>274</v>
      </c>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
  <sheetViews>
    <sheetView workbookViewId="0"/>
  </sheetViews>
  <sheetFormatPr baseColWidth="10" defaultColWidth="8.83203125" defaultRowHeight="14"/>
  <cols>
    <col min="1" max="1" width="28" customWidth="1"/>
    <col min="2" max="2" width="110" customWidth="1"/>
  </cols>
  <sheetData>
    <row r="1" spans="1:26">
      <c r="A1" s="6" t="s">
        <v>307</v>
      </c>
      <c r="B1" s="6" t="s">
        <v>20</v>
      </c>
      <c r="C1" s="7"/>
      <c r="D1" s="7"/>
      <c r="E1" s="7"/>
      <c r="F1" s="7"/>
      <c r="G1" s="7"/>
      <c r="H1" s="7"/>
      <c r="I1" s="7"/>
      <c r="J1" s="7"/>
      <c r="K1" s="7"/>
      <c r="L1" s="7"/>
      <c r="M1" s="7"/>
      <c r="N1" s="7"/>
      <c r="O1" s="7"/>
      <c r="P1" s="7"/>
      <c r="Q1" s="7"/>
      <c r="R1" s="7"/>
      <c r="S1" s="7"/>
      <c r="T1" s="7"/>
      <c r="U1" s="7"/>
      <c r="V1" s="7"/>
      <c r="W1" s="7"/>
      <c r="X1" s="7"/>
      <c r="Y1" s="7"/>
      <c r="Z1" s="7"/>
    </row>
    <row r="2" spans="1:26" ht="15">
      <c r="A2" s="2" t="s">
        <v>308</v>
      </c>
      <c r="B2" s="2" t="s">
        <v>309</v>
      </c>
    </row>
    <row r="3" spans="1:26" ht="15">
      <c r="A3" s="2" t="s">
        <v>310</v>
      </c>
      <c r="B3" s="2" t="s">
        <v>311</v>
      </c>
    </row>
    <row r="4" spans="1:26" ht="30">
      <c r="A4" s="2" t="s">
        <v>312</v>
      </c>
      <c r="B4" s="2" t="s">
        <v>313</v>
      </c>
    </row>
    <row r="5" spans="1:26" ht="30">
      <c r="A5" s="2" t="s">
        <v>314</v>
      </c>
      <c r="B5" s="2" t="s">
        <v>315</v>
      </c>
    </row>
    <row r="6" spans="1:26" ht="15">
      <c r="A6" s="2" t="s">
        <v>316</v>
      </c>
      <c r="B6" s="2" t="s">
        <v>317</v>
      </c>
    </row>
    <row r="7" spans="1:26" ht="15">
      <c r="A7" s="2" t="s">
        <v>318</v>
      </c>
      <c r="B7" s="2" t="s">
        <v>319</v>
      </c>
    </row>
    <row r="8" spans="1:26" ht="15">
      <c r="A8" s="2" t="s">
        <v>320</v>
      </c>
      <c r="B8" s="2" t="s">
        <v>321</v>
      </c>
    </row>
    <row r="9" spans="1:26" ht="15">
      <c r="A9" s="2" t="s">
        <v>322</v>
      </c>
      <c r="B9" s="2" t="s">
        <v>323</v>
      </c>
    </row>
    <row r="10" spans="1:26" ht="15">
      <c r="A10" s="2" t="s">
        <v>250</v>
      </c>
      <c r="B10" s="2" t="s">
        <v>324</v>
      </c>
    </row>
  </sheetData>
  <phoneticPr fontId="5"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1039-2DAF-9840-B966-FD74B915D2E4}">
  <dimension ref="A1:N24"/>
  <sheetViews>
    <sheetView topLeftCell="E1" workbookViewId="0">
      <pane ySplit="2" topLeftCell="A8" activePane="bottomLeft" state="frozen"/>
      <selection pane="bottomLeft" activeCell="M8" sqref="M8"/>
    </sheetView>
  </sheetViews>
  <sheetFormatPr baseColWidth="10" defaultColWidth="8.83203125" defaultRowHeight="15"/>
  <cols>
    <col min="1" max="1" width="15" style="12" customWidth="1"/>
    <col min="2" max="3" width="30" style="12" customWidth="1"/>
    <col min="4" max="5" width="50" style="12" customWidth="1"/>
    <col min="6" max="7" width="30" style="12" customWidth="1"/>
    <col min="8" max="8" width="20" style="12" customWidth="1"/>
    <col min="9" max="9" width="15" style="12" customWidth="1"/>
    <col min="10" max="10" width="30" style="12" customWidth="1"/>
    <col min="11" max="11" width="15" style="12" customWidth="1"/>
    <col min="12" max="12" width="30" style="12" customWidth="1"/>
    <col min="13" max="13" width="26" style="12" customWidth="1"/>
    <col min="14" max="14" width="70" style="12" customWidth="1"/>
    <col min="15" max="16384" width="8.83203125" style="12"/>
  </cols>
  <sheetData>
    <row r="1" spans="1:14">
      <c r="A1" s="11" t="s">
        <v>325</v>
      </c>
    </row>
    <row r="2" spans="1:14" ht="16">
      <c r="A2" s="13" t="s">
        <v>35</v>
      </c>
      <c r="B2" s="13" t="s">
        <v>36</v>
      </c>
      <c r="C2" s="13" t="s">
        <v>326</v>
      </c>
      <c r="D2" s="13" t="s">
        <v>327</v>
      </c>
      <c r="E2" s="13" t="s">
        <v>328</v>
      </c>
      <c r="F2" s="13" t="s">
        <v>329</v>
      </c>
      <c r="G2" s="13" t="s">
        <v>330</v>
      </c>
      <c r="H2" s="13" t="s">
        <v>331</v>
      </c>
      <c r="I2" s="13" t="s">
        <v>332</v>
      </c>
      <c r="J2" s="13" t="s">
        <v>333</v>
      </c>
      <c r="K2" s="13" t="s">
        <v>334</v>
      </c>
      <c r="L2" s="13" t="s">
        <v>335</v>
      </c>
      <c r="M2" s="14" t="s">
        <v>38</v>
      </c>
      <c r="N2" s="14" t="s">
        <v>39</v>
      </c>
    </row>
    <row r="3" spans="1:14" ht="409.6">
      <c r="A3" s="15" t="s">
        <v>270</v>
      </c>
      <c r="B3" s="16" t="s">
        <v>156</v>
      </c>
      <c r="C3" s="16" t="s">
        <v>271</v>
      </c>
      <c r="D3" s="16" t="s">
        <v>336</v>
      </c>
      <c r="E3" s="16" t="s">
        <v>337</v>
      </c>
      <c r="F3" s="16" t="s">
        <v>338</v>
      </c>
      <c r="G3" s="16" t="s">
        <v>339</v>
      </c>
      <c r="H3" s="16" t="s">
        <v>272</v>
      </c>
      <c r="I3" s="16" t="s">
        <v>340</v>
      </c>
      <c r="J3" s="16" t="s">
        <v>341</v>
      </c>
      <c r="K3" s="16" t="s">
        <v>342</v>
      </c>
      <c r="L3" s="16" t="s">
        <v>343</v>
      </c>
      <c r="M3" s="17" t="s">
        <v>272</v>
      </c>
      <c r="N3" s="17" t="s">
        <v>273</v>
      </c>
    </row>
    <row r="4" spans="1:14" ht="409.6">
      <c r="A4" s="15" t="s">
        <v>275</v>
      </c>
      <c r="B4" s="16" t="s">
        <v>276</v>
      </c>
      <c r="C4" s="16" t="s">
        <v>277</v>
      </c>
      <c r="D4" s="16" t="s">
        <v>344</v>
      </c>
      <c r="E4" s="16" t="s">
        <v>345</v>
      </c>
      <c r="F4" s="16" t="s">
        <v>346</v>
      </c>
      <c r="G4" s="16" t="s">
        <v>347</v>
      </c>
      <c r="H4" s="16" t="s">
        <v>348</v>
      </c>
      <c r="I4" s="16" t="s">
        <v>349</v>
      </c>
      <c r="J4" s="16" t="s">
        <v>349</v>
      </c>
      <c r="K4" s="16" t="s">
        <v>350</v>
      </c>
      <c r="L4" s="16" t="s">
        <v>351</v>
      </c>
      <c r="M4" s="18" t="s">
        <v>278</v>
      </c>
      <c r="N4" s="18" t="s">
        <v>279</v>
      </c>
    </row>
    <row r="5" spans="1:14" ht="409.6">
      <c r="A5" s="15" t="s">
        <v>53</v>
      </c>
      <c r="B5" s="16" t="s">
        <v>54</v>
      </c>
      <c r="C5" s="16" t="s">
        <v>55</v>
      </c>
      <c r="D5" s="16" t="s">
        <v>352</v>
      </c>
      <c r="E5" s="16"/>
      <c r="F5" s="16" t="s">
        <v>5</v>
      </c>
      <c r="G5" s="16" t="s">
        <v>353</v>
      </c>
      <c r="H5" s="16" t="s">
        <v>56</v>
      </c>
      <c r="I5" s="16" t="s">
        <v>354</v>
      </c>
      <c r="J5" s="16" t="s">
        <v>355</v>
      </c>
      <c r="K5" s="16" t="s">
        <v>356</v>
      </c>
      <c r="L5" s="16" t="s">
        <v>357</v>
      </c>
      <c r="M5" s="17" t="s">
        <v>56</v>
      </c>
      <c r="N5" s="17" t="s">
        <v>57</v>
      </c>
    </row>
    <row r="6" spans="1:14" ht="409.6">
      <c r="A6" s="15" t="s">
        <v>280</v>
      </c>
      <c r="B6" s="16" t="s">
        <v>81</v>
      </c>
      <c r="C6" s="16" t="s">
        <v>281</v>
      </c>
      <c r="D6" s="16" t="s">
        <v>358</v>
      </c>
      <c r="E6" s="16" t="s">
        <v>359</v>
      </c>
      <c r="F6" s="16" t="s">
        <v>346</v>
      </c>
      <c r="G6" s="16" t="s">
        <v>347</v>
      </c>
      <c r="H6" s="16" t="s">
        <v>348</v>
      </c>
      <c r="I6" s="16" t="s">
        <v>360</v>
      </c>
      <c r="J6" s="16" t="s">
        <v>361</v>
      </c>
      <c r="K6" s="16" t="s">
        <v>362</v>
      </c>
      <c r="L6" s="16" t="s">
        <v>363</v>
      </c>
      <c r="M6" s="18" t="s">
        <v>278</v>
      </c>
      <c r="N6" s="18" t="s">
        <v>282</v>
      </c>
    </row>
    <row r="7" spans="1:14" ht="409.6">
      <c r="A7" s="15" t="s">
        <v>68</v>
      </c>
      <c r="B7" s="16" t="s">
        <v>69</v>
      </c>
      <c r="C7" s="16" t="s">
        <v>70</v>
      </c>
      <c r="D7" s="16" t="s">
        <v>364</v>
      </c>
      <c r="E7" s="16" t="s">
        <v>365</v>
      </c>
      <c r="F7" s="16" t="s">
        <v>7</v>
      </c>
      <c r="G7" s="16" t="s">
        <v>366</v>
      </c>
      <c r="H7" s="16" t="s">
        <v>56</v>
      </c>
      <c r="I7" s="16" t="s">
        <v>367</v>
      </c>
      <c r="J7" s="16" t="s">
        <v>368</v>
      </c>
      <c r="K7" s="16" t="s">
        <v>369</v>
      </c>
      <c r="L7" s="16" t="s">
        <v>370</v>
      </c>
      <c r="M7" s="17" t="s">
        <v>56</v>
      </c>
      <c r="N7" s="17" t="s">
        <v>71</v>
      </c>
    </row>
    <row r="8" spans="1:14" ht="409.6">
      <c r="A8" s="15" t="s">
        <v>80</v>
      </c>
      <c r="B8" s="16" t="s">
        <v>81</v>
      </c>
      <c r="C8" s="16" t="s">
        <v>82</v>
      </c>
      <c r="D8" s="16" t="s">
        <v>82</v>
      </c>
      <c r="E8" s="16" t="s">
        <v>371</v>
      </c>
      <c r="F8" s="16" t="s">
        <v>346</v>
      </c>
      <c r="G8" s="16" t="s">
        <v>372</v>
      </c>
      <c r="H8" s="16" t="s">
        <v>83</v>
      </c>
      <c r="I8" s="16" t="s">
        <v>373</v>
      </c>
      <c r="J8" s="16" t="s">
        <v>374</v>
      </c>
      <c r="K8" s="16" t="s">
        <v>375</v>
      </c>
      <c r="L8" s="16" t="s">
        <v>363</v>
      </c>
      <c r="M8" s="19" t="s">
        <v>376</v>
      </c>
      <c r="N8" s="17" t="s">
        <v>84</v>
      </c>
    </row>
    <row r="9" spans="1:14" ht="409.6">
      <c r="A9" s="15" t="s">
        <v>24</v>
      </c>
      <c r="B9" s="16" t="s">
        <v>94</v>
      </c>
      <c r="C9" s="16" t="s">
        <v>95</v>
      </c>
      <c r="D9" s="16" t="s">
        <v>377</v>
      </c>
      <c r="E9" s="16" t="s">
        <v>378</v>
      </c>
      <c r="F9" s="16" t="s">
        <v>9</v>
      </c>
      <c r="G9" s="16" t="s">
        <v>353</v>
      </c>
      <c r="H9" s="16" t="s">
        <v>83</v>
      </c>
      <c r="I9" s="16" t="s">
        <v>379</v>
      </c>
      <c r="J9" s="16" t="s">
        <v>380</v>
      </c>
      <c r="K9" s="16" t="s">
        <v>381</v>
      </c>
      <c r="L9" s="16" t="s">
        <v>382</v>
      </c>
      <c r="M9" s="18" t="s">
        <v>56</v>
      </c>
      <c r="N9" s="18" t="s">
        <v>96</v>
      </c>
    </row>
    <row r="10" spans="1:14" ht="409.6">
      <c r="A10" s="15" t="s">
        <v>283</v>
      </c>
      <c r="B10" s="16" t="s">
        <v>276</v>
      </c>
      <c r="C10" s="16" t="s">
        <v>284</v>
      </c>
      <c r="D10" s="16" t="s">
        <v>383</v>
      </c>
      <c r="E10" s="16" t="s">
        <v>384</v>
      </c>
      <c r="F10" s="16" t="s">
        <v>346</v>
      </c>
      <c r="G10" s="16" t="s">
        <v>372</v>
      </c>
      <c r="H10" s="16" t="s">
        <v>385</v>
      </c>
      <c r="I10" s="16" t="s">
        <v>349</v>
      </c>
      <c r="J10" s="16" t="s">
        <v>349</v>
      </c>
      <c r="K10" s="16" t="s">
        <v>386</v>
      </c>
      <c r="L10" s="16" t="s">
        <v>387</v>
      </c>
      <c r="M10" s="18" t="s">
        <v>278</v>
      </c>
      <c r="N10" s="18" t="s">
        <v>388</v>
      </c>
    </row>
    <row r="11" spans="1:14" ht="409.6">
      <c r="A11" s="15" t="s">
        <v>287</v>
      </c>
      <c r="B11" s="16" t="s">
        <v>288</v>
      </c>
      <c r="C11" s="16" t="s">
        <v>289</v>
      </c>
      <c r="D11" s="16" t="s">
        <v>389</v>
      </c>
      <c r="E11" s="16" t="s">
        <v>390</v>
      </c>
      <c r="F11" s="16" t="s">
        <v>346</v>
      </c>
      <c r="G11" s="16" t="s">
        <v>347</v>
      </c>
      <c r="H11" s="16" t="s">
        <v>296</v>
      </c>
      <c r="I11" s="16" t="s">
        <v>391</v>
      </c>
      <c r="J11" s="16" t="s">
        <v>392</v>
      </c>
      <c r="K11" s="16" t="s">
        <v>393</v>
      </c>
      <c r="L11" s="16" t="s">
        <v>394</v>
      </c>
      <c r="M11" s="18" t="s">
        <v>278</v>
      </c>
      <c r="N11" s="18" t="s">
        <v>395</v>
      </c>
    </row>
    <row r="12" spans="1:14" ht="409.6">
      <c r="A12" s="15" t="s">
        <v>106</v>
      </c>
      <c r="B12" s="16" t="s">
        <v>107</v>
      </c>
      <c r="C12" s="16" t="s">
        <v>108</v>
      </c>
      <c r="D12" s="16" t="s">
        <v>396</v>
      </c>
      <c r="E12" s="16" t="s">
        <v>397</v>
      </c>
      <c r="F12" s="16" t="s">
        <v>338</v>
      </c>
      <c r="G12" s="16" t="s">
        <v>353</v>
      </c>
      <c r="H12" s="16" t="s">
        <v>56</v>
      </c>
      <c r="I12" s="16" t="s">
        <v>398</v>
      </c>
      <c r="J12" s="16" t="s">
        <v>399</v>
      </c>
      <c r="K12" s="16" t="s">
        <v>400</v>
      </c>
      <c r="L12" s="16" t="s">
        <v>401</v>
      </c>
      <c r="M12" s="18" t="s">
        <v>109</v>
      </c>
      <c r="N12" s="18" t="s">
        <v>110</v>
      </c>
    </row>
    <row r="13" spans="1:14" ht="409.6">
      <c r="A13" s="15" t="s">
        <v>291</v>
      </c>
      <c r="B13" s="16" t="s">
        <v>81</v>
      </c>
      <c r="C13" s="16" t="s">
        <v>292</v>
      </c>
      <c r="D13" s="16" t="s">
        <v>402</v>
      </c>
      <c r="E13" s="16" t="s">
        <v>403</v>
      </c>
      <c r="F13" s="16" t="s">
        <v>346</v>
      </c>
      <c r="G13" s="16" t="s">
        <v>347</v>
      </c>
      <c r="H13" s="16" t="s">
        <v>83</v>
      </c>
      <c r="I13" s="16" t="s">
        <v>404</v>
      </c>
      <c r="J13" s="16" t="s">
        <v>405</v>
      </c>
      <c r="K13" s="16" t="s">
        <v>406</v>
      </c>
      <c r="L13" s="16" t="s">
        <v>363</v>
      </c>
      <c r="M13" s="18" t="s">
        <v>278</v>
      </c>
      <c r="N13" s="18" t="s">
        <v>293</v>
      </c>
    </row>
    <row r="14" spans="1:14" ht="409.6">
      <c r="A14" s="15" t="s">
        <v>120</v>
      </c>
      <c r="B14" s="16" t="s">
        <v>107</v>
      </c>
      <c r="C14" s="16" t="s">
        <v>121</v>
      </c>
      <c r="D14" s="16" t="s">
        <v>407</v>
      </c>
      <c r="E14" s="16"/>
      <c r="F14" s="16" t="s">
        <v>338</v>
      </c>
      <c r="G14" s="16" t="s">
        <v>353</v>
      </c>
      <c r="H14" s="16" t="s">
        <v>348</v>
      </c>
      <c r="I14" s="16" t="s">
        <v>408</v>
      </c>
      <c r="J14" s="16" t="s">
        <v>409</v>
      </c>
      <c r="K14" s="16" t="s">
        <v>410</v>
      </c>
      <c r="L14" s="16" t="s">
        <v>411</v>
      </c>
      <c r="M14" s="18" t="s">
        <v>56</v>
      </c>
      <c r="N14" s="18" t="s">
        <v>122</v>
      </c>
    </row>
    <row r="15" spans="1:14" ht="409.6">
      <c r="A15" s="15" t="s">
        <v>294</v>
      </c>
      <c r="B15" s="16" t="s">
        <v>107</v>
      </c>
      <c r="C15" s="16" t="s">
        <v>295</v>
      </c>
      <c r="D15" s="16" t="s">
        <v>412</v>
      </c>
      <c r="E15" s="16" t="s">
        <v>413</v>
      </c>
      <c r="F15" s="16" t="s">
        <v>414</v>
      </c>
      <c r="G15" s="16" t="s">
        <v>353</v>
      </c>
      <c r="H15" s="16" t="s">
        <v>348</v>
      </c>
      <c r="I15" s="20" t="s">
        <v>415</v>
      </c>
      <c r="J15" s="16" t="s">
        <v>416</v>
      </c>
      <c r="K15" s="16" t="s">
        <v>417</v>
      </c>
      <c r="L15" s="16" t="s">
        <v>418</v>
      </c>
      <c r="M15" s="18" t="s">
        <v>296</v>
      </c>
      <c r="N15" s="18" t="s">
        <v>297</v>
      </c>
    </row>
    <row r="16" spans="1:14" ht="409.6">
      <c r="A16" s="15" t="s">
        <v>132</v>
      </c>
      <c r="B16" s="16" t="s">
        <v>107</v>
      </c>
      <c r="C16" s="16" t="s">
        <v>133</v>
      </c>
      <c r="D16" s="16" t="s">
        <v>419</v>
      </c>
      <c r="E16" s="16" t="s">
        <v>413</v>
      </c>
      <c r="F16" s="16" t="s">
        <v>5</v>
      </c>
      <c r="G16" s="16" t="s">
        <v>353</v>
      </c>
      <c r="H16" s="16" t="s">
        <v>56</v>
      </c>
      <c r="I16" s="16" t="s">
        <v>420</v>
      </c>
      <c r="J16" s="16" t="s">
        <v>421</v>
      </c>
      <c r="K16" s="16" t="s">
        <v>422</v>
      </c>
      <c r="L16" s="16" t="s">
        <v>423</v>
      </c>
      <c r="M16" s="17" t="s">
        <v>56</v>
      </c>
      <c r="N16" s="17" t="s">
        <v>134</v>
      </c>
    </row>
    <row r="17" spans="1:14" ht="409.6">
      <c r="A17" s="15" t="s">
        <v>144</v>
      </c>
      <c r="B17" s="16" t="s">
        <v>107</v>
      </c>
      <c r="C17" s="16" t="s">
        <v>145</v>
      </c>
      <c r="D17" s="16" t="s">
        <v>424</v>
      </c>
      <c r="E17" s="16" t="s">
        <v>397</v>
      </c>
      <c r="F17" s="16" t="s">
        <v>5</v>
      </c>
      <c r="G17" s="16" t="s">
        <v>353</v>
      </c>
      <c r="H17" s="16" t="s">
        <v>348</v>
      </c>
      <c r="I17" s="20" t="s">
        <v>425</v>
      </c>
      <c r="J17" s="16" t="s">
        <v>426</v>
      </c>
      <c r="K17" s="16" t="s">
        <v>427</v>
      </c>
      <c r="L17" s="16" t="s">
        <v>428</v>
      </c>
      <c r="M17" s="18" t="s">
        <v>56</v>
      </c>
      <c r="N17" s="18" t="s">
        <v>146</v>
      </c>
    </row>
    <row r="18" spans="1:14" ht="409.6">
      <c r="A18" s="15" t="s">
        <v>155</v>
      </c>
      <c r="B18" s="16" t="s">
        <v>156</v>
      </c>
      <c r="C18" s="16" t="s">
        <v>157</v>
      </c>
      <c r="D18" s="16" t="s">
        <v>429</v>
      </c>
      <c r="E18" s="16" t="s">
        <v>430</v>
      </c>
      <c r="F18" s="16" t="s">
        <v>338</v>
      </c>
      <c r="G18" s="16" t="s">
        <v>366</v>
      </c>
      <c r="H18" s="16" t="s">
        <v>109</v>
      </c>
      <c r="I18" s="16" t="s">
        <v>431</v>
      </c>
      <c r="J18" s="16" t="s">
        <v>432</v>
      </c>
      <c r="K18" s="16" t="s">
        <v>433</v>
      </c>
      <c r="L18" s="16" t="s">
        <v>434</v>
      </c>
      <c r="M18" s="17" t="s">
        <v>109</v>
      </c>
      <c r="N18" s="17" t="s">
        <v>158</v>
      </c>
    </row>
    <row r="19" spans="1:14" ht="409.6">
      <c r="A19" s="15" t="s">
        <v>298</v>
      </c>
      <c r="B19" s="16" t="s">
        <v>288</v>
      </c>
      <c r="C19" s="16" t="s">
        <v>299</v>
      </c>
      <c r="D19" s="16" t="s">
        <v>435</v>
      </c>
      <c r="E19" s="16" t="s">
        <v>436</v>
      </c>
      <c r="F19" s="16" t="s">
        <v>346</v>
      </c>
      <c r="G19" s="16" t="s">
        <v>372</v>
      </c>
      <c r="H19" s="16" t="s">
        <v>348</v>
      </c>
      <c r="I19" s="16" t="s">
        <v>437</v>
      </c>
      <c r="J19" s="16" t="s">
        <v>438</v>
      </c>
      <c r="K19" s="16" t="s">
        <v>439</v>
      </c>
      <c r="L19" s="16" t="s">
        <v>440</v>
      </c>
      <c r="M19" s="18" t="s">
        <v>278</v>
      </c>
      <c r="N19" s="18" t="s">
        <v>300</v>
      </c>
    </row>
    <row r="20" spans="1:14" ht="409.6">
      <c r="A20" s="15" t="s">
        <v>168</v>
      </c>
      <c r="B20" s="16" t="s">
        <v>156</v>
      </c>
      <c r="C20" s="16" t="s">
        <v>169</v>
      </c>
      <c r="D20" s="16" t="s">
        <v>441</v>
      </c>
      <c r="E20" s="16" t="s">
        <v>442</v>
      </c>
      <c r="F20" s="16" t="s">
        <v>338</v>
      </c>
      <c r="G20" s="16" t="s">
        <v>443</v>
      </c>
      <c r="H20" s="16" t="s">
        <v>56</v>
      </c>
      <c r="I20" s="20" t="s">
        <v>444</v>
      </c>
      <c r="J20" s="16" t="s">
        <v>445</v>
      </c>
      <c r="K20" s="16" t="s">
        <v>446</v>
      </c>
      <c r="L20" s="16" t="s">
        <v>447</v>
      </c>
      <c r="M20" s="19" t="s">
        <v>448</v>
      </c>
      <c r="N20" s="17" t="s">
        <v>170</v>
      </c>
    </row>
    <row r="21" spans="1:14" ht="409.6">
      <c r="A21" s="15" t="s">
        <v>32</v>
      </c>
      <c r="B21" s="16" t="s">
        <v>156</v>
      </c>
      <c r="C21" s="16" t="s">
        <v>180</v>
      </c>
      <c r="D21" s="16" t="s">
        <v>449</v>
      </c>
      <c r="E21" s="16" t="s">
        <v>450</v>
      </c>
      <c r="F21" s="16" t="s">
        <v>7</v>
      </c>
      <c r="G21" s="16" t="s">
        <v>353</v>
      </c>
      <c r="H21" s="16" t="s">
        <v>56</v>
      </c>
      <c r="I21" s="16" t="s">
        <v>451</v>
      </c>
      <c r="J21" s="16" t="s">
        <v>452</v>
      </c>
      <c r="K21" s="16" t="s">
        <v>453</v>
      </c>
      <c r="L21" s="16" t="s">
        <v>454</v>
      </c>
      <c r="M21" s="17" t="s">
        <v>56</v>
      </c>
      <c r="N21" s="17" t="s">
        <v>181</v>
      </c>
    </row>
    <row r="22" spans="1:14" ht="409.6">
      <c r="A22" s="15" t="s">
        <v>190</v>
      </c>
      <c r="B22" s="16" t="s">
        <v>191</v>
      </c>
      <c r="C22" s="16" t="s">
        <v>192</v>
      </c>
      <c r="D22" s="16" t="s">
        <v>455</v>
      </c>
      <c r="E22" s="16" t="s">
        <v>456</v>
      </c>
      <c r="F22" s="16" t="s">
        <v>457</v>
      </c>
      <c r="G22" s="16" t="s">
        <v>353</v>
      </c>
      <c r="H22" s="16" t="s">
        <v>193</v>
      </c>
      <c r="I22" s="16" t="s">
        <v>458</v>
      </c>
      <c r="J22" s="16"/>
      <c r="K22" s="16" t="s">
        <v>459</v>
      </c>
      <c r="L22" s="16" t="s">
        <v>460</v>
      </c>
      <c r="M22" s="17" t="s">
        <v>193</v>
      </c>
      <c r="N22" s="17" t="s">
        <v>194</v>
      </c>
    </row>
    <row r="23" spans="1:14" ht="409.6">
      <c r="A23" s="15" t="s">
        <v>301</v>
      </c>
      <c r="B23" s="16" t="s">
        <v>276</v>
      </c>
      <c r="C23" s="16" t="s">
        <v>302</v>
      </c>
      <c r="D23" s="16" t="s">
        <v>461</v>
      </c>
      <c r="E23" s="16" t="s">
        <v>462</v>
      </c>
      <c r="F23" s="16" t="s">
        <v>346</v>
      </c>
      <c r="G23" s="16" t="s">
        <v>463</v>
      </c>
      <c r="H23" s="16" t="s">
        <v>385</v>
      </c>
      <c r="I23" s="16" t="s">
        <v>464</v>
      </c>
      <c r="J23" s="16" t="s">
        <v>465</v>
      </c>
      <c r="K23" s="16" t="s">
        <v>466</v>
      </c>
      <c r="L23" s="16" t="s">
        <v>467</v>
      </c>
      <c r="M23" s="18" t="s">
        <v>278</v>
      </c>
      <c r="N23" s="18" t="s">
        <v>303</v>
      </c>
    </row>
    <row r="24" spans="1:14" ht="409.6">
      <c r="A24" s="15" t="s">
        <v>304</v>
      </c>
      <c r="B24" s="16" t="s">
        <v>276</v>
      </c>
      <c r="C24" s="16" t="s">
        <v>305</v>
      </c>
      <c r="D24" s="16" t="s">
        <v>468</v>
      </c>
      <c r="E24" s="16" t="s">
        <v>462</v>
      </c>
      <c r="F24" s="16" t="s">
        <v>346</v>
      </c>
      <c r="G24" s="16" t="s">
        <v>463</v>
      </c>
      <c r="H24" s="16" t="s">
        <v>385</v>
      </c>
      <c r="I24" s="16" t="s">
        <v>469</v>
      </c>
      <c r="J24" s="16" t="s">
        <v>470</v>
      </c>
      <c r="K24" s="16" t="s">
        <v>471</v>
      </c>
      <c r="L24" s="16" t="s">
        <v>472</v>
      </c>
      <c r="M24" s="18" t="s">
        <v>278</v>
      </c>
      <c r="N24" s="18" t="s">
        <v>306</v>
      </c>
    </row>
  </sheetData>
  <autoFilter ref="A2:N24" xr:uid="{00000000-0009-0000-0000-000000000000}"/>
  <phoneticPr fontId="5" type="noConversion"/>
  <hyperlinks>
    <hyperlink ref="A3" r:id="rId1" xr:uid="{9174F0A7-6B41-F448-8F76-898E0C5AF592}"/>
    <hyperlink ref="A4" r:id="rId2" xr:uid="{6CC5A212-06B7-484E-9A0E-40BECAE85CE1}"/>
    <hyperlink ref="A5" r:id="rId3" xr:uid="{C631C926-430E-D541-BC08-FDBD45EA0200}"/>
    <hyperlink ref="A6" r:id="rId4" xr:uid="{8C7368BE-B8C1-6F4F-9B98-5288249BC65E}"/>
    <hyperlink ref="A7" r:id="rId5" xr:uid="{85B6B410-5323-5349-B000-D1DFDE87A820}"/>
    <hyperlink ref="A8" r:id="rId6" xr:uid="{B232261B-732B-F149-9583-A8B993DEFCF3}"/>
    <hyperlink ref="A9" r:id="rId7" xr:uid="{DD610B8F-5E4C-4542-9CBB-4248EA2ABEA9}"/>
    <hyperlink ref="A10" r:id="rId8" xr:uid="{47CBE4F8-9DDF-B249-A170-E0F4ADEED654}"/>
    <hyperlink ref="A11" r:id="rId9" xr:uid="{DBC53314-3921-1343-BD3C-6C1736AA547E}"/>
    <hyperlink ref="A12" r:id="rId10" xr:uid="{9148D722-909D-1B47-A3B6-97A06C268799}"/>
    <hyperlink ref="A13" r:id="rId11" xr:uid="{E8118F32-BABA-BD4E-A606-3862924F8ECE}"/>
    <hyperlink ref="A14" r:id="rId12" xr:uid="{CD2136FF-468A-7D4E-BDDC-C743B7000419}"/>
    <hyperlink ref="A15" r:id="rId13" xr:uid="{C687072C-8D59-C34B-A1C5-3CC0896DB40E}"/>
    <hyperlink ref="A16" r:id="rId14" xr:uid="{769B6083-CC24-0D46-A968-D3EA1151EA8B}"/>
    <hyperlink ref="A17" r:id="rId15" xr:uid="{9775DA2E-BB8D-9D46-9EA7-AACFA8D15241}"/>
    <hyperlink ref="A18" r:id="rId16" xr:uid="{34DB3450-D20D-AC4B-9134-D1A5CB2DC4E0}"/>
    <hyperlink ref="A19" r:id="rId17" xr:uid="{7D6BD609-34C4-8D40-AFFF-C03B39AE537A}"/>
    <hyperlink ref="A20" r:id="rId18" xr:uid="{91D732AB-A2EA-D441-9A0B-7C4CC605AF5B}"/>
    <hyperlink ref="A21" r:id="rId19" xr:uid="{02FDA38F-48F1-EE41-8EB6-9206D5E56B06}"/>
    <hyperlink ref="A22" r:id="rId20" xr:uid="{4BB33079-D8FA-A846-906D-5E0709253412}"/>
    <hyperlink ref="A23" r:id="rId21" xr:uid="{F1CD17AB-909D-1242-ACCF-8CDC3508BA71}"/>
    <hyperlink ref="A24" r:id="rId22" xr:uid="{4675104D-B336-3745-AC3C-693D4D69F6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统计看板</vt:lpstr>
      <vt:lpstr>逐条分析</vt:lpstr>
      <vt:lpstr>新增扩展指引建议</vt:lpstr>
      <vt:lpstr>分类与编号规则</vt:lpstr>
      <vt:lpstr>未纳入分析条目</vt:lpstr>
      <vt:lpstr>判定口径</vt:lpstr>
      <vt:lpstr>原始缺陷清单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2026-07-02T06:21:37Z</dcterms:modified>
</cp:coreProperties>
</file>